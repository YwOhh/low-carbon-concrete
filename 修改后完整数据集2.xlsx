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3DP-FRC C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<sst xmlns="http://schemas.openxmlformats.org/spreadsheetml/2006/main" count="58" uniqueCount="28">
  <si>
    <t>OPC  (kg/m3)</t>
  </si>
  <si>
    <t>S (kg/m3)</t>
  </si>
  <si>
    <t>W/B</t>
  </si>
  <si>
    <t>FA (kg/m3)</t>
  </si>
  <si>
    <t>GS (kg/m3)</t>
  </si>
  <si>
    <t>SF (kg/m3)</t>
  </si>
  <si>
    <t>SP (kg/m3)</t>
  </si>
  <si>
    <t>HPMC (kg/m3)</t>
  </si>
  <si>
    <t>W (kg/m3)</t>
  </si>
  <si>
    <t>Fvol (%)f</t>
  </si>
  <si>
    <t>CD（d)</t>
  </si>
  <si>
    <t>LD (X,Y,Z)</t>
  </si>
  <si>
    <t xml:space="preserve">Strength （GPa） </t>
  </si>
  <si>
    <t>Elastic Modulus (GPa)</t>
  </si>
  <si>
    <t>Density (g/cm3)</t>
  </si>
  <si>
    <t>Lf/Df</t>
  </si>
  <si>
    <t>Df (μm)</t>
  </si>
  <si>
    <t>Lf (mm)</t>
  </si>
  <si>
    <t>CS (MPa)</t>
  </si>
  <si>
    <t>分段</t>
  </si>
  <si>
    <t>CD(d)</t>
  </si>
  <si>
    <r>
      <rPr>
        <sz val="11"/>
        <color theme="1"/>
        <rFont val="等线"/>
        <charset val="134"/>
      </rPr>
      <t>强度</t>
    </r>
  </si>
  <si>
    <r>
      <rPr>
        <sz val="11"/>
        <color theme="1"/>
        <rFont val="等线"/>
        <charset val="134"/>
      </rPr>
      <t>弹性模量</t>
    </r>
  </si>
  <si>
    <r>
      <rPr>
        <sz val="11"/>
        <color theme="1"/>
        <rFont val="等线"/>
        <charset val="134"/>
      </rPr>
      <t>密度</t>
    </r>
  </si>
  <si>
    <t>碳排放</t>
  </si>
  <si>
    <t>接收</t>
  </si>
  <si>
    <t>频率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</si>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</sst>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_ "/>
    <numFmt numFmtId="179" formatCode="0_ "/>
    <numFmt numFmtId="180" formatCode="0_);[Red]\(0\)"/>
    <numFmt numFmtId="181" formatCode="0.0_);[Red]\(0.0\)"/>
  </numFmts>
  <fonts count="28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1"/>
      <color rgb="FF000000"/>
      <name val="宋体"/>
      <charset val="134"/>
    </font>
    <font>
      <sz val="11"/>
      <color theme="1"/>
      <name val="Times New Roman"/>
      <charset val="134"/>
    </font>
    <font>
      <b/>
      <sz val="11"/>
      <color theme="1"/>
      <name val="等线"/>
      <charset val="134"/>
      <scheme val="minor"/>
    </font>
    <font>
      <sz val="12"/>
      <color theme="1"/>
      <name val="等线"/>
      <charset val="134"/>
    </font>
    <font>
      <sz val="10.5"/>
      <color theme="1"/>
      <name val="Times New Roman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/>
    <xf numFmtId="0" fontId="0" fillId="0" borderId="0" xfId="0" applyNumberFormat="1"/>
    <xf numFmtId="0" fontId="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6" fillId="0" borderId="0" xfId="0" applyFont="1" applyAlignment="1">
      <alignment vertical="center"/>
    </xf>
    <xf numFmtId="179" fontId="0" fillId="0" borderId="0" xfId="0" applyNumberFormat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8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"W/B"</c:f>
              <c:strCache>
                <c:ptCount val="1"/>
                <c:pt idx="0">
                  <c:v>W/B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Sheet1!$C$4:$C$8</c15:sqref>
                  </c15:fullRef>
                </c:ext>
              </c:extLst>
              <c:f>Sheet1!$C$5:$C$8</c:f>
              <c:numCache>
                <c:formatCode>General</c:formatCode>
                <c:ptCount val="4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Sheet1!$D$4:$D$9</c15:sqref>
                  </c15:fullRef>
                </c:ext>
              </c:extLst>
              <c:f>Sheet1!$D$5:$D$8</c:f>
              <c:numCache>
                <c:formatCode>General</c:formatCode>
                <c:ptCount val="4"/>
                <c:pt idx="0">
                  <c:v>147</c:v>
                </c:pt>
                <c:pt idx="1">
                  <c:v>48</c:v>
                </c:pt>
                <c:pt idx="2">
                  <c:v>62</c:v>
                </c:pt>
                <c:pt idx="3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885016192"/>
        <c:axId val="885025312"/>
      </c:barChart>
      <c:catAx>
        <c:axId val="885016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W/B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5025312"/>
        <c:crosses val="autoZero"/>
        <c:auto val="1"/>
        <c:lblAlgn val="ctr"/>
        <c:lblOffset val="100"/>
        <c:noMultiLvlLbl val="0"/>
      </c:catAx>
      <c:valAx>
        <c:axId val="885025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CONUNT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5016192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84781468321534"/>
          <c:y val="0.137044448724725"/>
          <c:w val="0.113077056048286"/>
          <c:h val="0.12887388201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780673-1afa-4b51-8aab-7a06dee1118f}"/>
      </c:ext>
    </c:extLst>
  </c:chart>
  <c:spPr>
    <a:solidFill>
      <a:schemeClr val="bg1"/>
    </a:solidFill>
    <a:ln w="6350" cap="flat" cmpd="sng" algn="ctr">
      <a:solidFill>
        <a:schemeClr val="bg1"/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"W/B"</c:f>
              <c:strCache>
                <c:ptCount val="1"/>
                <c:pt idx="0">
                  <c:v>W/B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Sheet1!$B$25:$B$31</c15:sqref>
                  </c15:fullRef>
                </c:ext>
              </c:extLst>
              <c:f>Sheet1!$B$26:$B$30</c:f>
              <c:numCache>
                <c:formatCode>General</c:formatCode>
                <c:ptCount val="5"/>
                <c:pt idx="0">
                  <c:v>0.16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Sheet1!$C$25:$C$31</c15:sqref>
                  </c15:fullRef>
                </c:ext>
              </c:extLst>
              <c:f>Sheet1!$C$26:$C$30</c:f>
              <c:numCache>
                <c:formatCode>General</c:formatCode>
                <c:ptCount val="5"/>
                <c:pt idx="0">
                  <c:v>27</c:v>
                </c:pt>
                <c:pt idx="1">
                  <c:v>120</c:v>
                </c:pt>
                <c:pt idx="2">
                  <c:v>48</c:v>
                </c:pt>
                <c:pt idx="3">
                  <c:v>62</c:v>
                </c:pt>
                <c:pt idx="4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885035392"/>
        <c:axId val="885028672"/>
      </c:barChart>
      <c:catAx>
        <c:axId val="8850353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W/B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60439047882688"/>
              <c:y val="0.8184909495795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5028672"/>
        <c:crosses val="autoZero"/>
        <c:auto val="1"/>
        <c:lblAlgn val="ctr"/>
        <c:lblOffset val="100"/>
        <c:noMultiLvlLbl val="0"/>
      </c:catAx>
      <c:valAx>
        <c:axId val="88502867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CONUNT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5035392"/>
        <c:crosses val="autoZero"/>
        <c:crossBetween val="between"/>
      </c:valAx>
      <c:spPr>
        <a:ln>
          <a:solidFill>
            <a:schemeClr val="tx1">
              <a:lumMod val="95000"/>
              <a:lumOff val="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84781468321534"/>
          <c:y val="0.144501867476046"/>
          <c:w val="0.113077056048286"/>
          <c:h val="0.129764392980101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bf4632-c8ff-4b4d-92e9-1a5dbecc33f3}"/>
      </c:ext>
    </c:extLst>
  </c:chart>
  <c:spPr>
    <a:ln w="6350" cap="flat" cmpd="sng" algn="ctr">
      <a:solidFill>
        <a:schemeClr val="bg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"CD"</c:f>
              <c:strCache>
                <c:ptCount val="1"/>
                <c:pt idx="0">
                  <c:v>CD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Sheet1!$K$4:$K$8</c15:sqref>
                  </c15:fullRef>
                </c:ext>
              </c:extLst>
              <c:f>Sheet1!$K$4:$K$7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Sheet1!$L$4:$L$8</c15:sqref>
                  </c15:fullRef>
                </c:ext>
              </c:extLst>
              <c:f>Sheet1!$L$4:$L$7</c:f>
              <c:numCache>
                <c:formatCode>General</c:formatCode>
                <c:ptCount val="4"/>
                <c:pt idx="0">
                  <c:v>12</c:v>
                </c:pt>
                <c:pt idx="1">
                  <c:v>12</c:v>
                </c:pt>
                <c:pt idx="2">
                  <c:v>18</c:v>
                </c:pt>
                <c:pt idx="3">
                  <c:v>254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044364128"/>
        <c:axId val="2044381888"/>
      </c:barChart>
      <c:catAx>
        <c:axId val="204436412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CD(d)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44381888"/>
        <c:crosses val="autoZero"/>
        <c:auto val="1"/>
        <c:lblAlgn val="ctr"/>
        <c:lblOffset val="100"/>
        <c:noMultiLvlLbl val="0"/>
      </c:catAx>
      <c:valAx>
        <c:axId val="204438188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CONUNT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44364128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695332791838788"/>
          <c:y val="0.0620102036618895"/>
          <c:w val="0.0918695129097989"/>
          <c:h val="0.12579369774412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3e4a79-1a7b-48da-ab82-27c26c21a0e5}"/>
      </c:ext>
    </c:extLst>
  </c:chart>
  <c:spPr>
    <a:ln w="6350" cap="flat" cmpd="sng" algn="ctr">
      <a:solidFill>
        <a:schemeClr val="bg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"STRENGTH"</c:f>
              <c:strCache>
                <c:ptCount val="1"/>
                <c:pt idx="0">
                  <c:v>STRENGTH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Sheet1!$R$4:$R$11</c15:sqref>
                  </c15:fullRef>
                </c:ext>
              </c:extLst>
              <c:f>(Sheet1!$R$5:$R$6,Sheet1!$R$8:$R$10)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Sheet1!$S$4:$S$11</c15:sqref>
                  </c15:fullRef>
                </c:ext>
              </c:extLst>
              <c:f>(Sheet1!$S$5:$S$6,Sheet1!$S$8:$S$10)</c:f>
              <c:numCache>
                <c:formatCode>General</c:formatCode>
                <c:ptCount val="5"/>
                <c:pt idx="0">
                  <c:v>15</c:v>
                </c:pt>
                <c:pt idx="1">
                  <c:v>15</c:v>
                </c:pt>
                <c:pt idx="2">
                  <c:v>82</c:v>
                </c:pt>
                <c:pt idx="3">
                  <c:v>117</c:v>
                </c:pt>
                <c:pt idx="4">
                  <c:v>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885036352"/>
        <c:axId val="885032992"/>
      </c:barChart>
      <c:catAx>
        <c:axId val="88503635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STRENGTH(GPa)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5032992"/>
        <c:crosses val="autoZero"/>
        <c:auto val="1"/>
        <c:lblAlgn val="ctr"/>
        <c:lblOffset val="100"/>
        <c:noMultiLvlLbl val="0"/>
      </c:catAx>
      <c:valAx>
        <c:axId val="8850329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COCOUNT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85036352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555493058444785"/>
          <c:y val="0.103956280479797"/>
          <c:w val="0.195632856760364"/>
          <c:h val="0.12737666838237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a86bd4-5462-423e-ba1d-d786513f08ec}"/>
      </c:ext>
    </c:extLst>
  </c:chart>
  <c:spPr>
    <a:ln w="6350" cap="flat" cmpd="sng" algn="ctr">
      <a:solidFill>
        <a:schemeClr val="bg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162499344"/>
        <c:axId val="1162500304"/>
      </c:barChart>
      <c:catAx>
        <c:axId val="11624993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接收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500304"/>
        <c:crosses val="autoZero"/>
        <c:auto val="1"/>
        <c:lblAlgn val="ctr"/>
        <c:lblOffset val="100"/>
        <c:noMultiLvlLbl val="0"/>
      </c:catAx>
      <c:valAx>
        <c:axId val="116250030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频率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499344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36e7ca-dd5c-4222-9779-da568748a57f}"/>
      </c:ext>
    </c:extLst>
  </c:chart>
  <c:spPr>
    <a:ln w="6350" cap="flat" cmpd="sng" algn="ctr">
      <a:solidFill>
        <a:schemeClr val="bg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"Elastic"</c:f>
              <c:strCache>
                <c:ptCount val="1"/>
                <c:pt idx="0">
                  <c:v>Elastic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Sheet1!$Y$9:$Y$14</c15:sqref>
                  </c15:fullRef>
                </c:ext>
              </c:extLst>
              <c:f>Sheet1!$Y$9:$Y$13</c:f>
              <c:numCache>
                <c:formatCode>General</c:formatCode>
                <c:ptCount val="5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Sheet1!$Z$9:$Z$14</c15:sqref>
                  </c15:fullRef>
                </c:ext>
              </c:extLst>
              <c:f>Sheet1!$Z$9:$Z$13</c:f>
              <c:numCache>
                <c:formatCode>General</c:formatCode>
                <c:ptCount val="5"/>
                <c:pt idx="0">
                  <c:v>30</c:v>
                </c:pt>
                <c:pt idx="1">
                  <c:v>70</c:v>
                </c:pt>
                <c:pt idx="2">
                  <c:v>159</c:v>
                </c:pt>
                <c:pt idx="3">
                  <c:v>0</c:v>
                </c:pt>
                <c:pt idx="4">
                  <c:v>158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162501264"/>
        <c:axId val="1162494544"/>
      </c:barChart>
      <c:catAx>
        <c:axId val="11625012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i="0" u="none" strike="noStrike" baseline="0">
                    <a:effectLst/>
                  </a:rPr>
                  <a:t>Elastic Modulus (GPa) </a:t>
                </a:r>
                <a:endParaRPr lang="zh-CN" altLang="en-US" b="1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494544"/>
        <c:crosses val="autoZero"/>
        <c:auto val="1"/>
        <c:lblAlgn val="ctr"/>
        <c:lblOffset val="100"/>
        <c:noMultiLvlLbl val="0"/>
      </c:catAx>
      <c:valAx>
        <c:axId val="116249454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CONUNT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501264"/>
        <c:crosses val="autoZero"/>
        <c:crossBetween val="between"/>
      </c:valAx>
      <c:spPr>
        <a:ln>
          <a:solidFill>
            <a:schemeClr val="tx1">
              <a:lumMod val="95000"/>
              <a:lumOff val="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200467490369"/>
          <c:y val="0.0928743750566122"/>
          <c:w val="0.137669959155018"/>
          <c:h val="0.126694897955806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689af6-768a-4133-8531-c5e66273c968}"/>
      </c:ext>
    </c:extLst>
  </c:chart>
  <c:spPr>
    <a:ln w="6350" cap="flat" cmpd="sng" algn="ctr">
      <a:solidFill>
        <a:schemeClr val="bg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"Density"</c:f>
              <c:strCache>
                <c:ptCount val="1"/>
                <c:pt idx="0">
                  <c:v>Density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Sheet1!$AS$3:$AS$10</c15:sqref>
                  </c15:fullRef>
                </c:ext>
              </c:extLst>
              <c:f>Sheet1!$AS$3:$AS$8</c:f>
              <c:numCache>
                <c:formatCode>General</c:formatCode>
                <c:ptCount val="6"/>
                <c:pt idx="0">
                  <c:v>0.8</c:v>
                </c:pt>
                <c:pt idx="1">
                  <c:v>1.2</c:v>
                </c:pt>
                <c:pt idx="2">
                  <c:v>1.6</c:v>
                </c:pt>
                <c:pt idx="3">
                  <c:v>2</c:v>
                </c:pt>
                <c:pt idx="4">
                  <c:v>2.4</c:v>
                </c:pt>
                <c:pt idx="5">
                  <c:v>2.8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Sheet1!$AT$3:$AT$10</c15:sqref>
                  </c15:fullRef>
                </c:ext>
              </c:extLst>
              <c:f>Sheet1!$AT$3:$AT$8</c:f>
              <c:numCache>
                <c:formatCode>General</c:formatCode>
                <c:ptCount val="6"/>
                <c:pt idx="0">
                  <c:v>158</c:v>
                </c:pt>
                <c:pt idx="1">
                  <c:v>177</c:v>
                </c:pt>
                <c:pt idx="2">
                  <c:v>70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162489744"/>
        <c:axId val="1162490704"/>
      </c:barChart>
      <c:catAx>
        <c:axId val="11624897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i="0" u="none" strike="noStrike" baseline="0">
                    <a:effectLst/>
                  </a:rPr>
                  <a:t>Density (g/cm3) </a:t>
                </a:r>
                <a:endParaRPr lang="zh-CN" altLang="en-US" b="1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490704"/>
        <c:crosses val="autoZero"/>
        <c:auto val="1"/>
        <c:lblAlgn val="ctr"/>
        <c:lblOffset val="100"/>
        <c:noMultiLvlLbl val="0"/>
      </c:catAx>
      <c:valAx>
        <c:axId val="116249070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CONUNT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489744"/>
        <c:crosses val="autoZero"/>
        <c:crossBetween val="between"/>
      </c:valAx>
      <c:spPr>
        <a:ln>
          <a:solidFill>
            <a:schemeClr val="tx1">
              <a:lumMod val="95000"/>
              <a:lumOff val="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2660263127197"/>
          <c:y val="0.115691601948847"/>
          <c:w val="0.152138432396974"/>
          <c:h val="0.12625775046978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e89578-170e-4bb6-84ba-fb54241feed4}"/>
      </c:ext>
    </c:extLst>
  </c:chart>
  <c:spPr>
    <a:ln w="6350" cap="flat" cmpd="sng" algn="ctr">
      <a:solidFill>
        <a:schemeClr val="bg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直方图</a:t>
            </a:r>
            <a:endParaRPr lang="zh-CN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"频率"</c:f>
              <c:strCache>
                <c:ptCount val="1"/>
                <c:pt idx="0">
                  <c:v>频率</c:v>
                </c:pt>
              </c:strCache>
            </c:strRef>
          </c:tx>
          <c:invertIfNegative val="0"/>
          <c:dLbls>
            <c:delete val="1"/>
          </c:dLbls>
          <c:cat>
            <c:strRef>
              <c:f>Sheet1!$AS$17:$AS$28</c:f>
              <c:strCache>
                <c:ptCount val="1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1200</c:v>
                </c:pt>
                <c:pt idx="11">
                  <c:v>其他</c:v>
                </c:pt>
              </c:strCache>
            </c:strRef>
          </c:cat>
          <c:val>
            <c:numRef>
              <c:f>Sheet1!$AT$17:$AT$28</c:f>
              <c:numCache>
                <c:formatCode>General</c:formatCode>
                <c:ptCount val="12"/>
                <c:pt idx="0">
                  <c:v>36</c:v>
                </c:pt>
                <c:pt idx="1">
                  <c:v>81</c:v>
                </c:pt>
                <c:pt idx="2">
                  <c:v>102</c:v>
                </c:pt>
                <c:pt idx="3">
                  <c:v>6</c:v>
                </c:pt>
                <c:pt idx="4">
                  <c:v>43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2519024"/>
        <c:axId val="1162519984"/>
      </c:barChart>
      <c:catAx>
        <c:axId val="11625190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接收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519984"/>
        <c:crosses val="autoZero"/>
        <c:auto val="1"/>
        <c:lblAlgn val="ctr"/>
        <c:lblOffset val="100"/>
        <c:noMultiLvlLbl val="0"/>
      </c:catAx>
      <c:valAx>
        <c:axId val="116251998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频率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51902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14512f-7775-45e1-95de-0971bd63676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"Lf/Df"</c:f>
              <c:strCache>
                <c:ptCount val="1"/>
                <c:pt idx="0">
                  <c:v>Lf/Df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Sheet1!$AS$17:$AS$28</c15:sqref>
                  </c15:fullRef>
                </c:ext>
              </c:extLst>
              <c:f>(Sheet1!$AS$17:$AS$22,Sheet1!$AS$27)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1200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Sheet1!$AT$17:$AT$28</c15:sqref>
                  </c15:fullRef>
                </c:ext>
              </c:extLst>
              <c:f>(Sheet1!$AT$17:$AT$22,Sheet1!$AT$27)</c:f>
              <c:numCache>
                <c:formatCode>General</c:formatCode>
                <c:ptCount val="7"/>
                <c:pt idx="0">
                  <c:v>36</c:v>
                </c:pt>
                <c:pt idx="1">
                  <c:v>81</c:v>
                </c:pt>
                <c:pt idx="2">
                  <c:v>102</c:v>
                </c:pt>
                <c:pt idx="3">
                  <c:v>6</c:v>
                </c:pt>
                <c:pt idx="4">
                  <c:v>43</c:v>
                </c:pt>
                <c:pt idx="5">
                  <c:v>6</c:v>
                </c:pt>
                <c:pt idx="6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162489744"/>
        <c:axId val="1162490704"/>
      </c:barChart>
      <c:catAx>
        <c:axId val="11624897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Lf/Df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490704"/>
        <c:crosses val="autoZero"/>
        <c:auto val="1"/>
        <c:lblAlgn val="ctr"/>
        <c:lblOffset val="100"/>
        <c:noMultiLvlLbl val="0"/>
      </c:catAx>
      <c:valAx>
        <c:axId val="116249070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COCOUNT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489744"/>
        <c:crosses val="autoZero"/>
        <c:crossBetween val="between"/>
      </c:valAx>
      <c:spPr>
        <a:ln>
          <a:solidFill>
            <a:schemeClr val="tx1">
              <a:lumMod val="95000"/>
              <a:lumOff val="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2660263127197"/>
          <c:y val="0.115691601948847"/>
          <c:w val="0.152138432396974"/>
          <c:h val="0.12625775046978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86fdf7-2ebf-4d19-8666-19aaef0da77c}"/>
      </c:ext>
    </c:extLst>
  </c:chart>
  <c:spPr>
    <a:ln w="6350" cap="flat" cmpd="sng" algn="ctr">
      <a:solidFill>
        <a:schemeClr val="bg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直方图</a:t>
            </a:r>
            <a:endParaRPr lang="zh-CN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"频率"</c:f>
              <c:strCache>
                <c:ptCount val="1"/>
                <c:pt idx="0">
                  <c:v>频率</c:v>
                </c:pt>
              </c:strCache>
            </c:strRef>
          </c:tx>
          <c:invertIfNegative val="0"/>
          <c:dLbls>
            <c:delete val="1"/>
          </c:dLbls>
          <c:cat>
            <c:strRef>
              <c:f>Sheet1!$AS$37:$AS$43</c:f>
              <c:strCache>
                <c:ptCount val="7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其他</c:v>
                </c:pt>
              </c:strCache>
            </c:strRef>
          </c:cat>
          <c:val>
            <c:numRef>
              <c:f>Sheet1!$AT$37:$AT$43</c:f>
              <c:numCache>
                <c:formatCode>General</c:formatCode>
                <c:ptCount val="7"/>
                <c:pt idx="0">
                  <c:v>54</c:v>
                </c:pt>
                <c:pt idx="1">
                  <c:v>120</c:v>
                </c:pt>
                <c:pt idx="2">
                  <c:v>48</c:v>
                </c:pt>
                <c:pt idx="3">
                  <c:v>61</c:v>
                </c:pt>
                <c:pt idx="4">
                  <c:v>0</c:v>
                </c:pt>
                <c:pt idx="5">
                  <c:v>13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2502224"/>
        <c:axId val="1162494064"/>
      </c:barChart>
      <c:catAx>
        <c:axId val="11625022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接收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494064"/>
        <c:crosses val="autoZero"/>
        <c:auto val="1"/>
        <c:lblAlgn val="ctr"/>
        <c:lblOffset val="100"/>
        <c:noMultiLvlLbl val="0"/>
      </c:catAx>
      <c:valAx>
        <c:axId val="116249406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频率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50222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550817-fec3-4a3f-9aa3-d07cd4b7c70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"Lf"</c:f>
              <c:strCache>
                <c:ptCount val="1"/>
                <c:pt idx="0">
                  <c:v>Lf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Sheet1!$AS$37:$AS$43</c15:sqref>
                  </c15:fullRef>
                </c:ext>
              </c:extLst>
              <c:f>(Sheet1!$AS$37:$AS$40,Sheet1!$AS$42)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Sheet1!$AT$37:$AT$43</c15:sqref>
                  </c15:fullRef>
                </c:ext>
              </c:extLst>
              <c:f>(Sheet1!$AT$37:$AT$40,Sheet1!$AT$42)</c:f>
              <c:numCache>
                <c:formatCode>General</c:formatCode>
                <c:ptCount val="5"/>
                <c:pt idx="0">
                  <c:v>54</c:v>
                </c:pt>
                <c:pt idx="1">
                  <c:v>120</c:v>
                </c:pt>
                <c:pt idx="2">
                  <c:v>48</c:v>
                </c:pt>
                <c:pt idx="3">
                  <c:v>61</c:v>
                </c:pt>
                <c:pt idx="4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162489744"/>
        <c:axId val="1162490704"/>
      </c:barChart>
      <c:catAx>
        <c:axId val="11624897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Lf(mm)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490704"/>
        <c:crosses val="autoZero"/>
        <c:auto val="1"/>
        <c:lblAlgn val="ctr"/>
        <c:lblOffset val="100"/>
        <c:noMultiLvlLbl val="0"/>
      </c:catAx>
      <c:valAx>
        <c:axId val="116249070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COCOUNT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489744"/>
        <c:crosses val="autoZero"/>
        <c:crossBetween val="between"/>
      </c:valAx>
      <c:spPr>
        <a:ln>
          <a:solidFill>
            <a:schemeClr val="tx1">
              <a:lumMod val="95000"/>
              <a:lumOff val="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2660263127197"/>
          <c:y val="0.115691601948847"/>
          <c:w val="0.152138432396974"/>
          <c:h val="0.12625775046978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93d6b0-9093-43fe-965c-06eb6065f76d}"/>
      </c:ext>
    </c:extLst>
  </c:chart>
  <c:spPr>
    <a:ln w="6350" cap="flat" cmpd="sng" algn="ctr">
      <a:solidFill>
        <a:schemeClr val="bg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8541100729745"/>
          <c:y val="0.0503793223326939"/>
          <c:w val="0.730652767685524"/>
          <c:h val="0.733621146438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"Carbon emission"</c:f>
              <c:strCache>
                <c:ptCount val="1"/>
                <c:pt idx="0">
                  <c:v>Carbon emission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Sheet1!$AS$52:$AS$63</c15:sqref>
                  </c15:fullRef>
                </c:ext>
              </c:extLst>
              <c:f>(Sheet1!$AS$52:$AS$59,Sheet1!$AS$61)</c:f>
              <c:numCache>
                <c:formatCode>General</c:formatCode>
                <c:ptCount val="9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1200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Sheet1!$AT$52:$AT$63</c15:sqref>
                  </c15:fullRef>
                </c:ext>
              </c:extLst>
              <c:f>(Sheet1!$AT$52:$AT$59,Sheet1!$AT$61)</c:f>
              <c:numCache>
                <c:formatCode>General</c:formatCode>
                <c:ptCount val="9"/>
                <c:pt idx="0">
                  <c:v>9</c:v>
                </c:pt>
                <c:pt idx="1">
                  <c:v>62</c:v>
                </c:pt>
                <c:pt idx="2">
                  <c:v>37</c:v>
                </c:pt>
                <c:pt idx="3">
                  <c:v>145</c:v>
                </c:pt>
                <c:pt idx="4">
                  <c:v>78</c:v>
                </c:pt>
                <c:pt idx="5">
                  <c:v>13</c:v>
                </c:pt>
                <c:pt idx="6">
                  <c:v>27</c:v>
                </c:pt>
                <c:pt idx="7">
                  <c:v>33</c:v>
                </c:pt>
                <c:pt idx="8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162489744"/>
        <c:axId val="1162490704"/>
      </c:barChart>
      <c:catAx>
        <c:axId val="11624897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Carbon emission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777974306664"/>
              <c:y val="0.87498780730504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490704"/>
        <c:crosses val="autoZero"/>
        <c:auto val="1"/>
        <c:lblAlgn val="ctr"/>
        <c:lblOffset val="100"/>
        <c:noMultiLvlLbl val="0"/>
      </c:catAx>
      <c:valAx>
        <c:axId val="116249070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COCOUNT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2489744"/>
        <c:crosses val="autoZero"/>
        <c:crossBetween val="between"/>
      </c:valAx>
      <c:spPr>
        <a:ln>
          <a:solidFill>
            <a:schemeClr val="tx1">
              <a:lumMod val="95000"/>
              <a:lumOff val="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60011998554581"/>
          <c:y val="0.115691435672413"/>
          <c:w val="0.152138432396974"/>
          <c:h val="0.12625775046978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b73077-637f-404d-9cf5-d7e0233f3e37}"/>
      </c:ext>
    </c:extLst>
  </c:chart>
  <c:spPr>
    <a:ln w="6350" cap="flat" cmpd="sng" algn="ctr">
      <a:solidFill>
        <a:schemeClr val="bg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228600</xdr:colOff>
      <xdr:row>10</xdr:row>
      <xdr:rowOff>50800</xdr:rowOff>
    </xdr:from>
    <xdr:to>
      <xdr:col>7</xdr:col>
      <xdr:colOff>228600</xdr:colOff>
      <xdr:row>20</xdr:row>
      <xdr:rowOff>57150</xdr:rowOff>
    </xdr:to>
    <xdr:graphicFrame>
      <xdr:nvGraphicFramePr>
        <xdr:cNvPr id="3" name="图表 2"/>
        <xdr:cNvGraphicFramePr/>
      </xdr:nvGraphicFramePr>
      <xdr:xfrm>
        <a:off x="1143000" y="2287270"/>
        <a:ext cx="3566160" cy="1787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386177</xdr:colOff>
      <xdr:row>21</xdr:row>
      <xdr:rowOff>16098</xdr:rowOff>
    </xdr:from>
    <xdr:to>
      <xdr:col>7</xdr:col>
      <xdr:colOff>386177</xdr:colOff>
      <xdr:row>31</xdr:row>
      <xdr:rowOff>16098</xdr:rowOff>
    </xdr:to>
    <xdr:graphicFrame>
      <xdr:nvGraphicFramePr>
        <xdr:cNvPr id="6" name="图表 5"/>
        <xdr:cNvGraphicFramePr/>
      </xdr:nvGraphicFramePr>
      <xdr:xfrm>
        <a:off x="1300480" y="4208780"/>
        <a:ext cx="3566160" cy="1771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17969</xdr:colOff>
      <xdr:row>9</xdr:row>
      <xdr:rowOff>111058</xdr:rowOff>
    </xdr:from>
    <xdr:to>
      <xdr:col>15</xdr:col>
      <xdr:colOff>17969</xdr:colOff>
      <xdr:row>19</xdr:row>
      <xdr:rowOff>125379</xdr:rowOff>
    </xdr:to>
    <xdr:graphicFrame>
      <xdr:nvGraphicFramePr>
        <xdr:cNvPr id="7" name="图表 6"/>
        <xdr:cNvGraphicFramePr/>
      </xdr:nvGraphicFramePr>
      <xdr:xfrm>
        <a:off x="5801360" y="2162175"/>
        <a:ext cx="3566160" cy="1805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74499</xdr:colOff>
      <xdr:row>11</xdr:row>
      <xdr:rowOff>84749</xdr:rowOff>
    </xdr:from>
    <xdr:to>
      <xdr:col>22</xdr:col>
      <xdr:colOff>76159</xdr:colOff>
      <xdr:row>21</xdr:row>
      <xdr:rowOff>97201</xdr:rowOff>
    </xdr:to>
    <xdr:graphicFrame>
      <xdr:nvGraphicFramePr>
        <xdr:cNvPr id="8" name="图表 7"/>
        <xdr:cNvGraphicFramePr/>
      </xdr:nvGraphicFramePr>
      <xdr:xfrm>
        <a:off x="10035540" y="2505710"/>
        <a:ext cx="3567430" cy="1784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22908</xdr:colOff>
      <xdr:row>14</xdr:row>
      <xdr:rowOff>106663</xdr:rowOff>
    </xdr:from>
    <xdr:to>
      <xdr:col>30</xdr:col>
      <xdr:colOff>24516</xdr:colOff>
      <xdr:row>24</xdr:row>
      <xdr:rowOff>137128</xdr:rowOff>
    </xdr:to>
    <xdr:graphicFrame>
      <xdr:nvGraphicFramePr>
        <xdr:cNvPr id="9" name="图表 8"/>
        <xdr:cNvGraphicFramePr/>
      </xdr:nvGraphicFramePr>
      <xdr:xfrm>
        <a:off x="14756130" y="3062605"/>
        <a:ext cx="3567430" cy="1792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625067</xdr:colOff>
      <xdr:row>14</xdr:row>
      <xdr:rowOff>92645</xdr:rowOff>
    </xdr:from>
    <xdr:to>
      <xdr:col>29</xdr:col>
      <xdr:colOff>612041</xdr:colOff>
      <xdr:row>24</xdr:row>
      <xdr:rowOff>125209</xdr:rowOff>
    </xdr:to>
    <xdr:graphicFrame>
      <xdr:nvGraphicFramePr>
        <xdr:cNvPr id="10" name="图表 9"/>
        <xdr:cNvGraphicFramePr/>
      </xdr:nvGraphicFramePr>
      <xdr:xfrm>
        <a:off x="14733270" y="3048635"/>
        <a:ext cx="3566160" cy="1795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47</xdr:col>
      <xdr:colOff>0</xdr:colOff>
      <xdr:row>2</xdr:row>
      <xdr:rowOff>0</xdr:rowOff>
    </xdr:from>
    <xdr:to>
      <xdr:col>52</xdr:col>
      <xdr:colOff>658518</xdr:colOff>
      <xdr:row>12</xdr:row>
      <xdr:rowOff>12700</xdr:rowOff>
    </xdr:to>
    <xdr:graphicFrame>
      <xdr:nvGraphicFramePr>
        <xdr:cNvPr id="12" name="图表 11"/>
        <xdr:cNvGraphicFramePr/>
      </xdr:nvGraphicFramePr>
      <xdr:xfrm>
        <a:off x="28877895" y="796290"/>
        <a:ext cx="3566160" cy="1812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317500</xdr:colOff>
      <xdr:row>15</xdr:row>
      <xdr:rowOff>127000</xdr:rowOff>
    </xdr:from>
    <xdr:to>
      <xdr:col>19</xdr:col>
      <xdr:colOff>298450</xdr:colOff>
      <xdr:row>25</xdr:row>
      <xdr:rowOff>127000</xdr:rowOff>
    </xdr:to>
    <xdr:graphicFrame>
      <xdr:nvGraphicFramePr>
        <xdr:cNvPr id="14" name="图表 13"/>
        <xdr:cNvGraphicFramePr/>
      </xdr:nvGraphicFramePr>
      <xdr:xfrm>
        <a:off x="8478520" y="3268345"/>
        <a:ext cx="3564255" cy="175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68792</xdr:colOff>
      <xdr:row>14</xdr:row>
      <xdr:rowOff>123296</xdr:rowOff>
    </xdr:from>
    <xdr:to>
      <xdr:col>53</xdr:col>
      <xdr:colOff>10583</xdr:colOff>
      <xdr:row>30</xdr:row>
      <xdr:rowOff>17815</xdr:rowOff>
    </xdr:to>
    <xdr:graphicFrame>
      <xdr:nvGraphicFramePr>
        <xdr:cNvPr id="15" name="图表 14"/>
        <xdr:cNvGraphicFramePr/>
      </xdr:nvGraphicFramePr>
      <xdr:xfrm>
        <a:off x="28352115" y="3079750"/>
        <a:ext cx="4102100" cy="2727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184150</xdr:colOff>
      <xdr:row>35</xdr:row>
      <xdr:rowOff>101600</xdr:rowOff>
    </xdr:from>
    <xdr:to>
      <xdr:col>25</xdr:col>
      <xdr:colOff>165100</xdr:colOff>
      <xdr:row>45</xdr:row>
      <xdr:rowOff>101600</xdr:rowOff>
    </xdr:to>
    <xdr:graphicFrame>
      <xdr:nvGraphicFramePr>
        <xdr:cNvPr id="16" name="图表 15"/>
        <xdr:cNvGraphicFramePr/>
      </xdr:nvGraphicFramePr>
      <xdr:xfrm>
        <a:off x="11928475" y="6786245"/>
        <a:ext cx="3564255" cy="1762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46</xdr:col>
      <xdr:colOff>238385</xdr:colOff>
      <xdr:row>32</xdr:row>
      <xdr:rowOff>111802</xdr:rowOff>
    </xdr:from>
    <xdr:to>
      <xdr:col>53</xdr:col>
      <xdr:colOff>219648</xdr:colOff>
      <xdr:row>47</xdr:row>
      <xdr:rowOff>169265</xdr:rowOff>
    </xdr:to>
    <xdr:graphicFrame>
      <xdr:nvGraphicFramePr>
        <xdr:cNvPr id="17" name="图表 16"/>
        <xdr:cNvGraphicFramePr/>
      </xdr:nvGraphicFramePr>
      <xdr:xfrm>
        <a:off x="28521660" y="6251575"/>
        <a:ext cx="4141470" cy="2714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46</xdr:col>
      <xdr:colOff>504031</xdr:colOff>
      <xdr:row>49</xdr:row>
      <xdr:rowOff>37306</xdr:rowOff>
    </xdr:from>
    <xdr:to>
      <xdr:col>53</xdr:col>
      <xdr:colOff>464343</xdr:colOff>
      <xdr:row>64</xdr:row>
      <xdr:rowOff>145256</xdr:rowOff>
    </xdr:to>
    <xdr:graphicFrame>
      <xdr:nvGraphicFramePr>
        <xdr:cNvPr id="18" name="图表 17"/>
        <xdr:cNvGraphicFramePr/>
      </xdr:nvGraphicFramePr>
      <xdr:xfrm>
        <a:off x="28787090" y="9184640"/>
        <a:ext cx="4121150" cy="2755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18"/>
  <sheetViews>
    <sheetView tabSelected="1" zoomScale="90" zoomScaleNormal="90" workbookViewId="0">
      <selection activeCell="I1" sqref="I1"/>
    </sheetView>
  </sheetViews>
  <sheetFormatPr defaultColWidth="9" defaultRowHeight="13.8"/>
  <cols>
    <col min="1" max="1" width="14.4166666666667" style="1" customWidth="1"/>
    <col min="2" max="2" width="10.5833333333333" style="1" customWidth="1"/>
    <col min="3" max="3" width="13.3333333333333" style="1" customWidth="1"/>
    <col min="4" max="4" width="10.25" style="1" customWidth="1"/>
    <col min="5" max="5" width="10.4166666666667" style="1" customWidth="1"/>
    <col min="6" max="6" width="10.0833333333333" style="1" customWidth="1"/>
    <col min="7" max="7" width="10.25" style="1" customWidth="1"/>
    <col min="8" max="8" width="13.4166666666667" style="1" customWidth="1"/>
    <col min="9" max="9" width="10.0833333333333" style="1" customWidth="1"/>
    <col min="10" max="10" width="8.75" style="1" customWidth="1"/>
    <col min="11" max="11" width="10.3333333333333" style="1" customWidth="1"/>
    <col min="12" max="12" width="10.75" style="1" customWidth="1"/>
    <col min="13" max="15" width="8.91666666666667" style="1" customWidth="1"/>
    <col min="16" max="16" width="13.3333333333333" style="1" customWidth="1"/>
    <col min="17" max="18" width="7.41666666666667" style="1" customWidth="1"/>
    <col min="19" max="19" width="13.3333333333333" style="1" customWidth="1"/>
    <col min="22" max="22" width="14.4166666666667" customWidth="1"/>
    <col min="26" max="26" width="13.5833333333333" customWidth="1"/>
    <col min="27" max="27" width="14.6666666666667" customWidth="1"/>
    <col min="28" max="28" width="14.75" customWidth="1"/>
    <col min="29" max="29" width="10.3333333333333" customWidth="1"/>
  </cols>
  <sheetData>
    <row r="1" ht="93.65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4" t="s">
        <v>8</v>
      </c>
      <c r="J1" s="2" t="s">
        <v>9</v>
      </c>
      <c r="K1" s="2" t="s">
        <v>10</v>
      </c>
      <c r="L1" s="2" t="s">
        <v>11</v>
      </c>
      <c r="M1" s="15" t="s">
        <v>12</v>
      </c>
      <c r="N1" s="15" t="s">
        <v>13</v>
      </c>
      <c r="O1" s="15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>
        <v>655</v>
      </c>
      <c r="B2" s="1">
        <v>246</v>
      </c>
      <c r="C2" s="16">
        <v>0.263616558</v>
      </c>
      <c r="D2" s="1">
        <v>604</v>
      </c>
      <c r="E2" s="1">
        <v>0</v>
      </c>
      <c r="F2" s="1">
        <v>118</v>
      </c>
      <c r="G2" s="1">
        <v>3.5</v>
      </c>
      <c r="H2" s="1">
        <v>0</v>
      </c>
      <c r="I2" s="1">
        <v>363</v>
      </c>
      <c r="J2" s="1">
        <v>0.01</v>
      </c>
      <c r="K2" s="1">
        <v>28</v>
      </c>
      <c r="L2" s="1">
        <v>3</v>
      </c>
      <c r="M2" s="1">
        <v>2.9</v>
      </c>
      <c r="N2" s="1">
        <v>116</v>
      </c>
      <c r="O2" s="1">
        <v>0.97</v>
      </c>
      <c r="P2" s="1">
        <v>480</v>
      </c>
      <c r="Q2" s="1">
        <v>25</v>
      </c>
      <c r="R2" s="1">
        <v>12</v>
      </c>
      <c r="S2" s="17">
        <v>39.828551</v>
      </c>
    </row>
    <row r="3" spans="1:19">
      <c r="A3" s="1">
        <v>655</v>
      </c>
      <c r="B3" s="1">
        <v>246</v>
      </c>
      <c r="C3" s="16">
        <v>0.263616558</v>
      </c>
      <c r="D3" s="1">
        <v>604</v>
      </c>
      <c r="E3" s="1">
        <v>0</v>
      </c>
      <c r="F3" s="1">
        <v>118</v>
      </c>
      <c r="G3" s="1">
        <v>3.5</v>
      </c>
      <c r="H3" s="1">
        <v>0</v>
      </c>
      <c r="I3" s="1">
        <v>363</v>
      </c>
      <c r="J3" s="1">
        <v>0.01</v>
      </c>
      <c r="K3" s="1">
        <v>28</v>
      </c>
      <c r="L3" s="1">
        <v>3</v>
      </c>
      <c r="M3" s="1">
        <v>2.9</v>
      </c>
      <c r="N3" s="1">
        <v>116</v>
      </c>
      <c r="O3" s="1">
        <v>0.97</v>
      </c>
      <c r="P3" s="1">
        <v>480</v>
      </c>
      <c r="Q3" s="1">
        <v>25</v>
      </c>
      <c r="R3" s="1">
        <v>12</v>
      </c>
      <c r="S3" s="17">
        <v>42.69773496</v>
      </c>
    </row>
    <row r="4" spans="1:19">
      <c r="A4" s="1">
        <v>655</v>
      </c>
      <c r="B4" s="1">
        <v>246</v>
      </c>
      <c r="C4" s="16">
        <v>0.263616558</v>
      </c>
      <c r="D4" s="1">
        <v>604</v>
      </c>
      <c r="E4" s="1">
        <v>0</v>
      </c>
      <c r="F4" s="1">
        <v>118</v>
      </c>
      <c r="G4" s="1">
        <v>3.5</v>
      </c>
      <c r="H4" s="1">
        <v>0</v>
      </c>
      <c r="I4" s="1">
        <v>363</v>
      </c>
      <c r="J4" s="1">
        <v>0.01</v>
      </c>
      <c r="K4" s="1">
        <v>28</v>
      </c>
      <c r="L4" s="1">
        <v>3</v>
      </c>
      <c r="M4" s="1">
        <v>2.9</v>
      </c>
      <c r="N4" s="1">
        <v>116</v>
      </c>
      <c r="O4" s="1">
        <v>0.97</v>
      </c>
      <c r="P4" s="1">
        <v>480</v>
      </c>
      <c r="Q4" s="1">
        <v>25</v>
      </c>
      <c r="R4" s="1">
        <v>12</v>
      </c>
      <c r="S4" s="17">
        <v>48.11534831</v>
      </c>
    </row>
    <row r="5" spans="1:19">
      <c r="A5" s="1">
        <v>655</v>
      </c>
      <c r="B5" s="1">
        <v>246</v>
      </c>
      <c r="C5" s="16">
        <v>0.263616558</v>
      </c>
      <c r="D5" s="1">
        <v>604</v>
      </c>
      <c r="E5" s="1">
        <v>0</v>
      </c>
      <c r="F5" s="1">
        <v>118</v>
      </c>
      <c r="G5" s="1">
        <v>3.5</v>
      </c>
      <c r="H5" s="1">
        <v>0</v>
      </c>
      <c r="I5" s="1">
        <v>363</v>
      </c>
      <c r="J5" s="1">
        <v>0.01</v>
      </c>
      <c r="K5" s="1">
        <v>28</v>
      </c>
      <c r="L5" s="1">
        <v>3</v>
      </c>
      <c r="M5" s="1">
        <v>2.9</v>
      </c>
      <c r="N5" s="1">
        <v>116</v>
      </c>
      <c r="O5" s="1">
        <v>0.97</v>
      </c>
      <c r="P5" s="1">
        <v>480</v>
      </c>
      <c r="Q5" s="1">
        <v>25</v>
      </c>
      <c r="R5" s="1">
        <v>12</v>
      </c>
      <c r="S5" s="17">
        <v>36.58998415</v>
      </c>
    </row>
    <row r="6" spans="1:19">
      <c r="A6" s="1">
        <v>655</v>
      </c>
      <c r="B6" s="1">
        <v>246</v>
      </c>
      <c r="C6" s="16">
        <v>0.263616558</v>
      </c>
      <c r="D6" s="1">
        <v>604</v>
      </c>
      <c r="E6" s="1">
        <v>0</v>
      </c>
      <c r="F6" s="1">
        <v>118</v>
      </c>
      <c r="G6" s="1">
        <v>3.5</v>
      </c>
      <c r="H6" s="1">
        <v>0</v>
      </c>
      <c r="I6" s="1">
        <v>363</v>
      </c>
      <c r="J6" s="1">
        <v>0.01</v>
      </c>
      <c r="K6" s="1">
        <v>28</v>
      </c>
      <c r="L6" s="1">
        <v>3</v>
      </c>
      <c r="M6" s="1">
        <v>2.9</v>
      </c>
      <c r="N6" s="1">
        <v>116</v>
      </c>
      <c r="O6" s="1">
        <v>0.97</v>
      </c>
      <c r="P6" s="1">
        <v>480</v>
      </c>
      <c r="Q6" s="1">
        <v>25</v>
      </c>
      <c r="R6" s="1">
        <v>12</v>
      </c>
      <c r="S6" s="17">
        <v>39.9638976</v>
      </c>
    </row>
    <row r="7" spans="1:19">
      <c r="A7" s="1">
        <v>655</v>
      </c>
      <c r="B7" s="1">
        <v>246</v>
      </c>
      <c r="C7" s="16">
        <v>0.263616558</v>
      </c>
      <c r="D7" s="1">
        <v>604</v>
      </c>
      <c r="E7" s="1">
        <v>0</v>
      </c>
      <c r="F7" s="1">
        <v>118</v>
      </c>
      <c r="G7" s="1">
        <v>3.5</v>
      </c>
      <c r="H7" s="1">
        <v>0</v>
      </c>
      <c r="I7" s="1">
        <v>363</v>
      </c>
      <c r="J7" s="1">
        <v>0.01</v>
      </c>
      <c r="K7" s="1">
        <v>28</v>
      </c>
      <c r="L7" s="1">
        <v>3</v>
      </c>
      <c r="M7" s="1">
        <v>2.9</v>
      </c>
      <c r="N7" s="1">
        <v>116</v>
      </c>
      <c r="O7" s="1">
        <v>0.97</v>
      </c>
      <c r="P7" s="1">
        <v>480</v>
      </c>
      <c r="Q7" s="1">
        <v>25</v>
      </c>
      <c r="R7" s="1">
        <v>12</v>
      </c>
      <c r="S7" s="17">
        <v>35.63842703</v>
      </c>
    </row>
    <row r="8" spans="1:19">
      <c r="A8" s="1">
        <v>655</v>
      </c>
      <c r="B8" s="1">
        <v>246</v>
      </c>
      <c r="C8" s="16">
        <v>0.263616558</v>
      </c>
      <c r="D8" s="1">
        <v>604</v>
      </c>
      <c r="E8" s="1">
        <v>0</v>
      </c>
      <c r="F8" s="1">
        <v>118</v>
      </c>
      <c r="G8" s="1">
        <v>3.5</v>
      </c>
      <c r="H8" s="1">
        <v>0</v>
      </c>
      <c r="I8" s="1">
        <v>363</v>
      </c>
      <c r="J8" s="1">
        <v>0.01</v>
      </c>
      <c r="K8" s="1">
        <v>28</v>
      </c>
      <c r="L8" s="1">
        <v>1</v>
      </c>
      <c r="M8" s="1">
        <v>2.9</v>
      </c>
      <c r="N8" s="1">
        <v>116</v>
      </c>
      <c r="O8" s="1">
        <v>0.97</v>
      </c>
      <c r="P8" s="1">
        <v>480</v>
      </c>
      <c r="Q8" s="1">
        <v>25</v>
      </c>
      <c r="R8" s="1">
        <v>12</v>
      </c>
      <c r="S8" s="17">
        <v>53.51860152</v>
      </c>
    </row>
    <row r="9" spans="1:19">
      <c r="A9" s="1">
        <v>655</v>
      </c>
      <c r="B9" s="1">
        <v>246</v>
      </c>
      <c r="C9" s="16">
        <v>0.263616558</v>
      </c>
      <c r="D9" s="1">
        <v>604</v>
      </c>
      <c r="E9" s="1">
        <v>0</v>
      </c>
      <c r="F9" s="1">
        <v>118</v>
      </c>
      <c r="G9" s="1">
        <v>3.5</v>
      </c>
      <c r="H9" s="1">
        <v>0</v>
      </c>
      <c r="I9" s="1">
        <v>363</v>
      </c>
      <c r="J9" s="1">
        <v>0.01</v>
      </c>
      <c r="K9" s="1">
        <v>28</v>
      </c>
      <c r="L9" s="1">
        <v>1</v>
      </c>
      <c r="M9" s="1">
        <v>2.9</v>
      </c>
      <c r="N9" s="1">
        <v>116</v>
      </c>
      <c r="O9" s="1">
        <v>0.97</v>
      </c>
      <c r="P9" s="1">
        <v>480</v>
      </c>
      <c r="Q9" s="1">
        <v>25</v>
      </c>
      <c r="R9" s="1">
        <v>12</v>
      </c>
      <c r="S9" s="17">
        <v>50.47528754</v>
      </c>
    </row>
    <row r="10" spans="1:19">
      <c r="A10" s="1">
        <v>655</v>
      </c>
      <c r="B10" s="1">
        <v>246</v>
      </c>
      <c r="C10" s="16">
        <v>0.263616558</v>
      </c>
      <c r="D10" s="1">
        <v>604</v>
      </c>
      <c r="E10" s="1">
        <v>0</v>
      </c>
      <c r="F10" s="1">
        <v>118</v>
      </c>
      <c r="G10" s="1">
        <v>3.5</v>
      </c>
      <c r="H10" s="1">
        <v>0</v>
      </c>
      <c r="I10" s="1">
        <v>363</v>
      </c>
      <c r="J10" s="1">
        <v>0.01</v>
      </c>
      <c r="K10" s="1">
        <v>28</v>
      </c>
      <c r="L10" s="1">
        <v>1</v>
      </c>
      <c r="M10" s="1">
        <v>2.9</v>
      </c>
      <c r="N10" s="1">
        <v>116</v>
      </c>
      <c r="O10" s="1">
        <v>0.97</v>
      </c>
      <c r="P10" s="1">
        <v>480</v>
      </c>
      <c r="Q10" s="1">
        <v>25</v>
      </c>
      <c r="R10" s="1">
        <v>12</v>
      </c>
      <c r="S10" s="17">
        <v>61.37422088</v>
      </c>
    </row>
    <row r="11" spans="1:19">
      <c r="A11" s="1">
        <v>655</v>
      </c>
      <c r="B11" s="1">
        <v>246</v>
      </c>
      <c r="C11" s="16">
        <v>0.263616558</v>
      </c>
      <c r="D11" s="1">
        <v>604</v>
      </c>
      <c r="E11" s="1">
        <v>0</v>
      </c>
      <c r="F11" s="1">
        <v>118</v>
      </c>
      <c r="G11" s="1">
        <v>3.5</v>
      </c>
      <c r="H11" s="1">
        <v>0</v>
      </c>
      <c r="I11" s="1">
        <v>363</v>
      </c>
      <c r="J11" s="1">
        <v>0.01</v>
      </c>
      <c r="K11" s="1">
        <v>28</v>
      </c>
      <c r="L11" s="1">
        <v>1</v>
      </c>
      <c r="M11" s="1">
        <v>2.9</v>
      </c>
      <c r="N11" s="1">
        <v>116</v>
      </c>
      <c r="O11" s="1">
        <v>0.97</v>
      </c>
      <c r="P11" s="1">
        <v>480</v>
      </c>
      <c r="Q11" s="1">
        <v>25</v>
      </c>
      <c r="R11" s="1">
        <v>12</v>
      </c>
      <c r="S11" s="17">
        <v>60.87001987</v>
      </c>
    </row>
    <row r="12" spans="1:19">
      <c r="A12" s="1">
        <v>655</v>
      </c>
      <c r="B12" s="1">
        <v>246</v>
      </c>
      <c r="C12" s="16">
        <v>0.263616558</v>
      </c>
      <c r="D12" s="1">
        <v>604</v>
      </c>
      <c r="E12" s="1">
        <v>0</v>
      </c>
      <c r="F12" s="1">
        <v>118</v>
      </c>
      <c r="G12" s="1">
        <v>3.5</v>
      </c>
      <c r="H12" s="1">
        <v>0</v>
      </c>
      <c r="I12" s="1">
        <v>363</v>
      </c>
      <c r="J12" s="1">
        <v>0.01</v>
      </c>
      <c r="K12" s="1">
        <v>28</v>
      </c>
      <c r="L12" s="1">
        <v>1</v>
      </c>
      <c r="M12" s="1">
        <v>2.9</v>
      </c>
      <c r="N12" s="1">
        <v>116</v>
      </c>
      <c r="O12" s="1">
        <v>0.97</v>
      </c>
      <c r="P12" s="1">
        <v>480</v>
      </c>
      <c r="Q12" s="1">
        <v>25</v>
      </c>
      <c r="R12" s="1">
        <v>12</v>
      </c>
      <c r="S12" s="17">
        <v>56.21109123</v>
      </c>
    </row>
    <row r="13" spans="1:19">
      <c r="A13" s="1">
        <v>655</v>
      </c>
      <c r="B13" s="1">
        <v>246</v>
      </c>
      <c r="C13" s="16">
        <v>0.263616558</v>
      </c>
      <c r="D13" s="1">
        <v>604</v>
      </c>
      <c r="E13" s="1">
        <v>0</v>
      </c>
      <c r="F13" s="1">
        <v>118</v>
      </c>
      <c r="G13" s="1">
        <v>3.5</v>
      </c>
      <c r="H13" s="1">
        <v>0</v>
      </c>
      <c r="I13" s="1">
        <v>363</v>
      </c>
      <c r="J13" s="1">
        <v>0.01</v>
      </c>
      <c r="K13" s="1">
        <v>28</v>
      </c>
      <c r="L13" s="1">
        <v>1</v>
      </c>
      <c r="M13" s="1">
        <v>2.9</v>
      </c>
      <c r="N13" s="1">
        <v>116</v>
      </c>
      <c r="O13" s="1">
        <v>0.97</v>
      </c>
      <c r="P13" s="1">
        <v>480</v>
      </c>
      <c r="Q13" s="1">
        <v>25</v>
      </c>
      <c r="R13" s="1">
        <v>12</v>
      </c>
      <c r="S13" s="17">
        <v>35.77546606</v>
      </c>
    </row>
    <row r="14" spans="1:19">
      <c r="A14" s="1">
        <v>655</v>
      </c>
      <c r="B14" s="1">
        <v>246</v>
      </c>
      <c r="C14" s="16">
        <v>0.263616558</v>
      </c>
      <c r="D14" s="1">
        <v>604</v>
      </c>
      <c r="E14" s="1">
        <v>0</v>
      </c>
      <c r="F14" s="1">
        <v>118</v>
      </c>
      <c r="G14" s="1">
        <v>3.5</v>
      </c>
      <c r="H14" s="1">
        <v>0</v>
      </c>
      <c r="I14" s="1">
        <v>363</v>
      </c>
      <c r="J14" s="1">
        <v>0.01</v>
      </c>
      <c r="K14" s="1">
        <v>28</v>
      </c>
      <c r="L14" s="1">
        <v>1</v>
      </c>
      <c r="M14" s="1">
        <v>2.9</v>
      </c>
      <c r="N14" s="1">
        <v>116</v>
      </c>
      <c r="O14" s="1">
        <v>0.97</v>
      </c>
      <c r="P14" s="1">
        <v>480</v>
      </c>
      <c r="Q14" s="1">
        <v>25</v>
      </c>
      <c r="R14" s="1">
        <v>12</v>
      </c>
      <c r="S14" s="17">
        <v>29.5314153</v>
      </c>
    </row>
    <row r="15" spans="1:19">
      <c r="A15" s="1">
        <v>655</v>
      </c>
      <c r="B15" s="1">
        <v>246</v>
      </c>
      <c r="C15" s="16">
        <v>0.263616558</v>
      </c>
      <c r="D15" s="1">
        <v>604</v>
      </c>
      <c r="E15" s="1">
        <v>0</v>
      </c>
      <c r="F15" s="1">
        <v>118</v>
      </c>
      <c r="G15" s="1">
        <v>3.5</v>
      </c>
      <c r="H15" s="1">
        <v>0</v>
      </c>
      <c r="I15" s="1">
        <v>363</v>
      </c>
      <c r="J15" s="1">
        <v>0.01</v>
      </c>
      <c r="K15" s="1">
        <v>28</v>
      </c>
      <c r="L15" s="1">
        <v>1</v>
      </c>
      <c r="M15" s="1">
        <v>2.9</v>
      </c>
      <c r="N15" s="1">
        <v>116</v>
      </c>
      <c r="O15" s="1">
        <v>0.97</v>
      </c>
      <c r="P15" s="1">
        <v>480</v>
      </c>
      <c r="Q15" s="1">
        <v>25</v>
      </c>
      <c r="R15" s="1">
        <v>12</v>
      </c>
      <c r="S15" s="17">
        <v>42.24916214</v>
      </c>
    </row>
    <row r="16" spans="1:19">
      <c r="A16" s="1">
        <v>655</v>
      </c>
      <c r="B16" s="1">
        <v>246</v>
      </c>
      <c r="C16" s="16">
        <v>0.263616558</v>
      </c>
      <c r="D16" s="1">
        <v>604</v>
      </c>
      <c r="E16" s="1">
        <v>0</v>
      </c>
      <c r="F16" s="1">
        <v>118</v>
      </c>
      <c r="G16" s="1">
        <v>3.5</v>
      </c>
      <c r="H16" s="1">
        <v>0</v>
      </c>
      <c r="I16" s="1">
        <v>363</v>
      </c>
      <c r="J16" s="1">
        <v>0.01</v>
      </c>
      <c r="K16" s="1">
        <v>28</v>
      </c>
      <c r="L16" s="1">
        <v>1</v>
      </c>
      <c r="M16" s="1">
        <v>2.9</v>
      </c>
      <c r="N16" s="1">
        <v>116</v>
      </c>
      <c r="O16" s="1">
        <v>0.97</v>
      </c>
      <c r="P16" s="1">
        <v>480</v>
      </c>
      <c r="Q16" s="1">
        <v>25</v>
      </c>
      <c r="R16" s="1">
        <v>12</v>
      </c>
      <c r="S16" s="17">
        <v>41.08497298</v>
      </c>
    </row>
    <row r="17" spans="1:22">
      <c r="A17" s="1">
        <v>655</v>
      </c>
      <c r="B17" s="1">
        <v>246</v>
      </c>
      <c r="C17" s="16">
        <v>0.263616558</v>
      </c>
      <c r="D17" s="1">
        <v>604</v>
      </c>
      <c r="E17" s="1">
        <v>0</v>
      </c>
      <c r="F17" s="1">
        <v>118</v>
      </c>
      <c r="G17" s="1">
        <v>3.5</v>
      </c>
      <c r="H17" s="1">
        <v>0</v>
      </c>
      <c r="I17" s="1">
        <v>363</v>
      </c>
      <c r="J17" s="1">
        <v>0.01</v>
      </c>
      <c r="K17" s="1">
        <v>28</v>
      </c>
      <c r="L17" s="1">
        <v>1</v>
      </c>
      <c r="M17" s="1">
        <v>2.9</v>
      </c>
      <c r="N17" s="1">
        <v>116</v>
      </c>
      <c r="O17" s="1">
        <v>0.97</v>
      </c>
      <c r="P17" s="1">
        <v>480</v>
      </c>
      <c r="Q17" s="1">
        <v>25</v>
      </c>
      <c r="R17" s="1">
        <v>12</v>
      </c>
      <c r="S17" s="17">
        <v>36.49765394</v>
      </c>
    </row>
    <row r="18" spans="1:22">
      <c r="A18" s="1">
        <v>655</v>
      </c>
      <c r="B18" s="1">
        <v>246</v>
      </c>
      <c r="C18" s="16">
        <v>0.263616558</v>
      </c>
      <c r="D18" s="1">
        <v>604</v>
      </c>
      <c r="E18" s="1">
        <v>0</v>
      </c>
      <c r="F18" s="1">
        <v>118</v>
      </c>
      <c r="G18" s="1">
        <v>3.5</v>
      </c>
      <c r="H18" s="1">
        <v>0</v>
      </c>
      <c r="I18" s="1">
        <v>363</v>
      </c>
      <c r="J18" s="1">
        <v>0.015</v>
      </c>
      <c r="K18" s="1">
        <v>28</v>
      </c>
      <c r="L18" s="1">
        <v>3</v>
      </c>
      <c r="M18" s="1">
        <v>2.9</v>
      </c>
      <c r="N18" s="1">
        <v>116</v>
      </c>
      <c r="O18" s="1">
        <v>0.97</v>
      </c>
      <c r="P18" s="1">
        <v>480</v>
      </c>
      <c r="Q18" s="1">
        <v>25</v>
      </c>
      <c r="R18" s="1">
        <v>12</v>
      </c>
      <c r="S18" s="17">
        <v>48.99541385</v>
      </c>
    </row>
    <row r="19" spans="1:22">
      <c r="A19" s="1">
        <v>655</v>
      </c>
      <c r="B19" s="1">
        <v>246</v>
      </c>
      <c r="C19" s="16">
        <v>0.263616558</v>
      </c>
      <c r="D19" s="1">
        <v>604</v>
      </c>
      <c r="E19" s="1">
        <v>0</v>
      </c>
      <c r="F19" s="1">
        <v>118</v>
      </c>
      <c r="G19" s="1">
        <v>3.5</v>
      </c>
      <c r="H19" s="1">
        <v>0</v>
      </c>
      <c r="I19" s="1">
        <v>363</v>
      </c>
      <c r="J19" s="1">
        <v>0.015</v>
      </c>
      <c r="K19" s="1">
        <v>28</v>
      </c>
      <c r="L19" s="1">
        <v>3</v>
      </c>
      <c r="M19" s="1">
        <v>2.9</v>
      </c>
      <c r="N19" s="1">
        <v>116</v>
      </c>
      <c r="O19" s="1">
        <v>0.97</v>
      </c>
      <c r="P19" s="1">
        <v>480</v>
      </c>
      <c r="Q19" s="1">
        <v>25</v>
      </c>
      <c r="R19" s="1">
        <v>12</v>
      </c>
      <c r="S19" s="17">
        <v>43.32109799</v>
      </c>
      <c r="V19" s="18"/>
    </row>
    <row r="20" spans="1:22">
      <c r="A20" s="1">
        <v>655</v>
      </c>
      <c r="B20" s="1">
        <v>246</v>
      </c>
      <c r="C20" s="16">
        <v>0.263616558</v>
      </c>
      <c r="D20" s="1">
        <v>604</v>
      </c>
      <c r="E20" s="1">
        <v>0</v>
      </c>
      <c r="F20" s="1">
        <v>118</v>
      </c>
      <c r="G20" s="1">
        <v>3.5</v>
      </c>
      <c r="H20" s="1">
        <v>0</v>
      </c>
      <c r="I20" s="1">
        <v>363</v>
      </c>
      <c r="J20" s="1">
        <v>0.015</v>
      </c>
      <c r="K20" s="1">
        <v>28</v>
      </c>
      <c r="L20" s="1">
        <v>3</v>
      </c>
      <c r="M20" s="1">
        <v>2.9</v>
      </c>
      <c r="N20" s="1">
        <v>116</v>
      </c>
      <c r="O20" s="1">
        <v>0.97</v>
      </c>
      <c r="P20" s="1">
        <v>480</v>
      </c>
      <c r="Q20" s="1">
        <v>25</v>
      </c>
      <c r="R20" s="1">
        <v>12</v>
      </c>
      <c r="S20" s="17">
        <v>42.20552788</v>
      </c>
    </row>
    <row r="21" spans="1:22">
      <c r="A21" s="1">
        <v>655</v>
      </c>
      <c r="B21" s="1">
        <v>246</v>
      </c>
      <c r="C21" s="16">
        <v>0.263616558</v>
      </c>
      <c r="D21" s="1">
        <v>604</v>
      </c>
      <c r="E21" s="1">
        <v>0</v>
      </c>
      <c r="F21" s="1">
        <v>118</v>
      </c>
      <c r="G21" s="1">
        <v>3.5</v>
      </c>
      <c r="H21" s="1">
        <v>0</v>
      </c>
      <c r="I21" s="1">
        <v>363</v>
      </c>
      <c r="J21" s="1">
        <v>0.015</v>
      </c>
      <c r="K21" s="1">
        <v>28</v>
      </c>
      <c r="L21" s="1">
        <v>3</v>
      </c>
      <c r="M21" s="1">
        <v>2.9</v>
      </c>
      <c r="N21" s="1">
        <v>116</v>
      </c>
      <c r="O21" s="1">
        <v>0.97</v>
      </c>
      <c r="P21" s="1">
        <v>480</v>
      </c>
      <c r="Q21" s="1">
        <v>25</v>
      </c>
      <c r="R21" s="1">
        <v>12</v>
      </c>
      <c r="S21" s="17">
        <v>47.62402668</v>
      </c>
    </row>
    <row r="22" spans="1:22">
      <c r="A22" s="1">
        <v>655</v>
      </c>
      <c r="B22" s="1">
        <v>246</v>
      </c>
      <c r="C22" s="16">
        <v>0.263616558</v>
      </c>
      <c r="D22" s="1">
        <v>604</v>
      </c>
      <c r="E22" s="1">
        <v>0</v>
      </c>
      <c r="F22" s="1">
        <v>118</v>
      </c>
      <c r="G22" s="1">
        <v>3.5</v>
      </c>
      <c r="H22" s="1">
        <v>0</v>
      </c>
      <c r="I22" s="1">
        <v>363</v>
      </c>
      <c r="J22" s="1">
        <v>0.015</v>
      </c>
      <c r="K22" s="1">
        <v>28</v>
      </c>
      <c r="L22" s="1">
        <v>3</v>
      </c>
      <c r="M22" s="1">
        <v>2.9</v>
      </c>
      <c r="N22" s="1">
        <v>116</v>
      </c>
      <c r="O22" s="1">
        <v>0.97</v>
      </c>
      <c r="P22" s="1">
        <v>480</v>
      </c>
      <c r="Q22" s="1">
        <v>25</v>
      </c>
      <c r="R22" s="1">
        <v>12</v>
      </c>
      <c r="S22" s="17">
        <v>39.67171938</v>
      </c>
    </row>
    <row r="23" spans="1:22">
      <c r="A23" s="1">
        <v>655</v>
      </c>
      <c r="B23" s="1">
        <v>246</v>
      </c>
      <c r="C23" s="16">
        <v>0.263616558</v>
      </c>
      <c r="D23" s="1">
        <v>604</v>
      </c>
      <c r="E23" s="1">
        <v>0</v>
      </c>
      <c r="F23" s="1">
        <v>118</v>
      </c>
      <c r="G23" s="1">
        <v>3.5</v>
      </c>
      <c r="H23" s="1">
        <v>0</v>
      </c>
      <c r="I23" s="1">
        <v>363</v>
      </c>
      <c r="J23" s="1">
        <v>0.015</v>
      </c>
      <c r="K23" s="1">
        <v>28</v>
      </c>
      <c r="L23" s="1">
        <v>3</v>
      </c>
      <c r="M23" s="1">
        <v>2.9</v>
      </c>
      <c r="N23" s="1">
        <v>116</v>
      </c>
      <c r="O23" s="1">
        <v>0.97</v>
      </c>
      <c r="P23" s="1">
        <v>480</v>
      </c>
      <c r="Q23" s="1">
        <v>25</v>
      </c>
      <c r="R23" s="1">
        <v>12</v>
      </c>
      <c r="S23" s="17">
        <v>45.13340406</v>
      </c>
    </row>
    <row r="24" spans="1:22">
      <c r="A24" s="1">
        <v>655</v>
      </c>
      <c r="B24" s="1">
        <v>246</v>
      </c>
      <c r="C24" s="16">
        <v>0.263616558</v>
      </c>
      <c r="D24" s="1">
        <v>604</v>
      </c>
      <c r="E24" s="1">
        <v>0</v>
      </c>
      <c r="F24" s="1">
        <v>118</v>
      </c>
      <c r="G24" s="1">
        <v>3.5</v>
      </c>
      <c r="H24" s="1">
        <v>0</v>
      </c>
      <c r="I24" s="1">
        <v>363</v>
      </c>
      <c r="J24" s="1">
        <v>0.015</v>
      </c>
      <c r="K24" s="1">
        <v>28</v>
      </c>
      <c r="L24" s="1">
        <v>1</v>
      </c>
      <c r="M24" s="1">
        <v>2.9</v>
      </c>
      <c r="N24" s="1">
        <v>116</v>
      </c>
      <c r="O24" s="1">
        <v>0.97</v>
      </c>
      <c r="P24" s="1">
        <v>480</v>
      </c>
      <c r="Q24" s="1">
        <v>25</v>
      </c>
      <c r="R24" s="1">
        <v>12</v>
      </c>
      <c r="S24" s="17">
        <v>44.19032357</v>
      </c>
    </row>
    <row r="25" spans="1:22">
      <c r="A25" s="1">
        <v>655</v>
      </c>
      <c r="B25" s="1">
        <v>246</v>
      </c>
      <c r="C25" s="16">
        <v>0.263616558</v>
      </c>
      <c r="D25" s="1">
        <v>604</v>
      </c>
      <c r="E25" s="1">
        <v>0</v>
      </c>
      <c r="F25" s="1">
        <v>118</v>
      </c>
      <c r="G25" s="1">
        <v>3.5</v>
      </c>
      <c r="H25" s="1">
        <v>0</v>
      </c>
      <c r="I25" s="1">
        <v>363</v>
      </c>
      <c r="J25" s="1">
        <v>0.015</v>
      </c>
      <c r="K25" s="1">
        <v>28</v>
      </c>
      <c r="L25" s="1">
        <v>1</v>
      </c>
      <c r="M25" s="1">
        <v>2.9</v>
      </c>
      <c r="N25" s="1">
        <v>116</v>
      </c>
      <c r="O25" s="1">
        <v>0.97</v>
      </c>
      <c r="P25" s="1">
        <v>480</v>
      </c>
      <c r="Q25" s="1">
        <v>25</v>
      </c>
      <c r="R25" s="1">
        <v>12</v>
      </c>
      <c r="S25" s="17">
        <v>36.46536189</v>
      </c>
    </row>
    <row r="26" spans="1:22">
      <c r="A26" s="1">
        <v>655</v>
      </c>
      <c r="B26" s="1">
        <v>246</v>
      </c>
      <c r="C26" s="16">
        <v>0.263616558</v>
      </c>
      <c r="D26" s="1">
        <v>604</v>
      </c>
      <c r="E26" s="1">
        <v>0</v>
      </c>
      <c r="F26" s="1">
        <v>118</v>
      </c>
      <c r="G26" s="1">
        <v>3.5</v>
      </c>
      <c r="H26" s="1">
        <v>0</v>
      </c>
      <c r="I26" s="1">
        <v>363</v>
      </c>
      <c r="J26" s="1">
        <v>0.015</v>
      </c>
      <c r="K26" s="1">
        <v>28</v>
      </c>
      <c r="L26" s="1">
        <v>1</v>
      </c>
      <c r="M26" s="1">
        <v>2.9</v>
      </c>
      <c r="N26" s="1">
        <v>116</v>
      </c>
      <c r="O26" s="1">
        <v>0.97</v>
      </c>
      <c r="P26" s="1">
        <v>480</v>
      </c>
      <c r="Q26" s="1">
        <v>25</v>
      </c>
      <c r="R26" s="1">
        <v>12</v>
      </c>
      <c r="S26" s="17">
        <v>39.03539687</v>
      </c>
    </row>
    <row r="27" spans="1:22">
      <c r="A27" s="1">
        <v>655</v>
      </c>
      <c r="B27" s="1">
        <v>246</v>
      </c>
      <c r="C27" s="16">
        <v>0.263616558</v>
      </c>
      <c r="D27" s="1">
        <v>604</v>
      </c>
      <c r="E27" s="1">
        <v>0</v>
      </c>
      <c r="F27" s="1">
        <v>118</v>
      </c>
      <c r="G27" s="1">
        <v>3.5</v>
      </c>
      <c r="H27" s="1">
        <v>0</v>
      </c>
      <c r="I27" s="1">
        <v>363</v>
      </c>
      <c r="J27" s="1">
        <v>0.015</v>
      </c>
      <c r="K27" s="1">
        <v>28</v>
      </c>
      <c r="L27" s="1">
        <v>1</v>
      </c>
      <c r="M27" s="1">
        <v>2.9</v>
      </c>
      <c r="N27" s="1">
        <v>116</v>
      </c>
      <c r="O27" s="1">
        <v>0.97</v>
      </c>
      <c r="P27" s="1">
        <v>480</v>
      </c>
      <c r="Q27" s="1">
        <v>25</v>
      </c>
      <c r="R27" s="1">
        <v>12</v>
      </c>
      <c r="S27" s="17">
        <v>44.76146547</v>
      </c>
    </row>
    <row r="28" spans="1:22">
      <c r="A28" s="1">
        <v>655</v>
      </c>
      <c r="B28" s="1">
        <v>246</v>
      </c>
      <c r="C28" s="16">
        <v>0.263616558</v>
      </c>
      <c r="D28" s="1">
        <v>604</v>
      </c>
      <c r="E28" s="1">
        <v>0</v>
      </c>
      <c r="F28" s="1">
        <v>118</v>
      </c>
      <c r="G28" s="1">
        <v>3.5</v>
      </c>
      <c r="H28" s="1">
        <v>0</v>
      </c>
      <c r="I28" s="1">
        <v>363</v>
      </c>
      <c r="J28" s="1">
        <v>0.015</v>
      </c>
      <c r="K28" s="1">
        <v>28</v>
      </c>
      <c r="L28" s="1">
        <v>1</v>
      </c>
      <c r="M28" s="1">
        <v>2.9</v>
      </c>
      <c r="N28" s="1">
        <v>116</v>
      </c>
      <c r="O28" s="1">
        <v>0.97</v>
      </c>
      <c r="P28" s="1">
        <v>480</v>
      </c>
      <c r="Q28" s="1">
        <v>25</v>
      </c>
      <c r="R28" s="1">
        <v>12</v>
      </c>
      <c r="S28" s="17">
        <v>49.8069535</v>
      </c>
    </row>
    <row r="29" spans="1:22">
      <c r="A29" s="1">
        <v>655</v>
      </c>
      <c r="B29" s="1">
        <v>246</v>
      </c>
      <c r="C29" s="16">
        <v>0.263616558</v>
      </c>
      <c r="D29" s="1">
        <v>604</v>
      </c>
      <c r="E29" s="1">
        <v>0</v>
      </c>
      <c r="F29" s="1">
        <v>118</v>
      </c>
      <c r="G29" s="1">
        <v>3.5</v>
      </c>
      <c r="H29" s="1">
        <v>0</v>
      </c>
      <c r="I29" s="1">
        <v>363</v>
      </c>
      <c r="J29" s="1">
        <v>0.015</v>
      </c>
      <c r="K29" s="1">
        <v>28</v>
      </c>
      <c r="L29" s="1">
        <v>1</v>
      </c>
      <c r="M29" s="1">
        <v>2.9</v>
      </c>
      <c r="N29" s="1">
        <v>116</v>
      </c>
      <c r="O29" s="1">
        <v>0.97</v>
      </c>
      <c r="P29" s="1">
        <v>480</v>
      </c>
      <c r="Q29" s="1">
        <v>25</v>
      </c>
      <c r="R29" s="1">
        <v>12</v>
      </c>
      <c r="S29" s="17">
        <v>44.33581219</v>
      </c>
    </row>
    <row r="30" spans="1:22">
      <c r="A30" s="1">
        <v>655</v>
      </c>
      <c r="B30" s="1">
        <v>246</v>
      </c>
      <c r="C30" s="16">
        <v>0.263616558</v>
      </c>
      <c r="D30" s="1">
        <v>604</v>
      </c>
      <c r="E30" s="1">
        <v>0</v>
      </c>
      <c r="F30" s="1">
        <v>118</v>
      </c>
      <c r="G30" s="1">
        <v>3.5</v>
      </c>
      <c r="H30" s="1">
        <v>0</v>
      </c>
      <c r="I30" s="1">
        <v>363</v>
      </c>
      <c r="J30" s="1">
        <v>0.015</v>
      </c>
      <c r="K30" s="1">
        <v>28</v>
      </c>
      <c r="L30" s="1">
        <v>2</v>
      </c>
      <c r="M30" s="1">
        <v>2.9</v>
      </c>
      <c r="N30" s="1">
        <v>116</v>
      </c>
      <c r="O30" s="1">
        <v>0.97</v>
      </c>
      <c r="P30" s="1">
        <v>480</v>
      </c>
      <c r="Q30" s="1">
        <v>25</v>
      </c>
      <c r="R30" s="1">
        <v>12</v>
      </c>
      <c r="S30" s="17">
        <v>35.17061679</v>
      </c>
    </row>
    <row r="31" spans="1:22">
      <c r="A31" s="1">
        <v>655</v>
      </c>
      <c r="B31" s="1">
        <v>246</v>
      </c>
      <c r="C31" s="16">
        <v>0.263616558</v>
      </c>
      <c r="D31" s="1">
        <v>604</v>
      </c>
      <c r="E31" s="1">
        <v>0</v>
      </c>
      <c r="F31" s="1">
        <v>118</v>
      </c>
      <c r="G31" s="1">
        <v>3.5</v>
      </c>
      <c r="H31" s="1">
        <v>0</v>
      </c>
      <c r="I31" s="1">
        <v>363</v>
      </c>
      <c r="J31" s="1">
        <v>0.015</v>
      </c>
      <c r="K31" s="1">
        <v>28</v>
      </c>
      <c r="L31" s="1">
        <v>2</v>
      </c>
      <c r="M31" s="1">
        <v>2.9</v>
      </c>
      <c r="N31" s="1">
        <v>116</v>
      </c>
      <c r="O31" s="1">
        <v>0.97</v>
      </c>
      <c r="P31" s="1">
        <v>480</v>
      </c>
      <c r="Q31" s="1">
        <v>25</v>
      </c>
      <c r="R31" s="1">
        <v>12</v>
      </c>
      <c r="S31" s="17">
        <v>30.48142783</v>
      </c>
    </row>
    <row r="32" spans="1:22">
      <c r="A32" s="1">
        <v>655</v>
      </c>
      <c r="B32" s="1">
        <v>246</v>
      </c>
      <c r="C32" s="16">
        <v>0.263616558</v>
      </c>
      <c r="D32" s="1">
        <v>604</v>
      </c>
      <c r="E32" s="1">
        <v>0</v>
      </c>
      <c r="F32" s="1">
        <v>118</v>
      </c>
      <c r="G32" s="1">
        <v>3.5</v>
      </c>
      <c r="H32" s="1">
        <v>0</v>
      </c>
      <c r="I32" s="1">
        <v>363</v>
      </c>
      <c r="J32" s="1">
        <v>0.015</v>
      </c>
      <c r="K32" s="1">
        <v>28</v>
      </c>
      <c r="L32" s="1">
        <v>2</v>
      </c>
      <c r="M32" s="1">
        <v>2.9</v>
      </c>
      <c r="N32" s="1">
        <v>116</v>
      </c>
      <c r="O32" s="1">
        <v>0.97</v>
      </c>
      <c r="P32" s="1">
        <v>480</v>
      </c>
      <c r="Q32" s="1">
        <v>25</v>
      </c>
      <c r="R32" s="1">
        <v>12</v>
      </c>
      <c r="S32" s="17">
        <v>30.59873987</v>
      </c>
    </row>
    <row r="33" spans="1:19">
      <c r="A33" s="1">
        <v>655</v>
      </c>
      <c r="B33" s="1">
        <v>246</v>
      </c>
      <c r="C33" s="16">
        <v>0.263616558</v>
      </c>
      <c r="D33" s="1">
        <v>604</v>
      </c>
      <c r="E33" s="1">
        <v>0</v>
      </c>
      <c r="F33" s="1">
        <v>118</v>
      </c>
      <c r="G33" s="1">
        <v>3.5</v>
      </c>
      <c r="H33" s="1">
        <v>0</v>
      </c>
      <c r="I33" s="1">
        <v>363</v>
      </c>
      <c r="J33" s="1">
        <v>0.02</v>
      </c>
      <c r="K33" s="1">
        <v>28</v>
      </c>
      <c r="L33" s="1">
        <v>3</v>
      </c>
      <c r="M33" s="1">
        <v>2.9</v>
      </c>
      <c r="N33" s="1">
        <v>116</v>
      </c>
      <c r="O33" s="1">
        <v>0.97</v>
      </c>
      <c r="P33" s="1">
        <v>480</v>
      </c>
      <c r="Q33" s="1">
        <v>25</v>
      </c>
      <c r="R33" s="1">
        <v>12</v>
      </c>
      <c r="S33" s="17">
        <v>49.85145549</v>
      </c>
    </row>
    <row r="34" spans="1:19">
      <c r="A34" s="1">
        <v>655</v>
      </c>
      <c r="B34" s="1">
        <v>246</v>
      </c>
      <c r="C34" s="16">
        <v>0.263616558</v>
      </c>
      <c r="D34" s="1">
        <v>604</v>
      </c>
      <c r="E34" s="1">
        <v>0</v>
      </c>
      <c r="F34" s="1">
        <v>118</v>
      </c>
      <c r="G34" s="1">
        <v>3.5</v>
      </c>
      <c r="H34" s="1">
        <v>0</v>
      </c>
      <c r="I34" s="1">
        <v>363</v>
      </c>
      <c r="J34" s="1">
        <v>0.02</v>
      </c>
      <c r="K34" s="1">
        <v>28</v>
      </c>
      <c r="L34" s="1">
        <v>3</v>
      </c>
      <c r="M34" s="1">
        <v>2.9</v>
      </c>
      <c r="N34" s="1">
        <v>116</v>
      </c>
      <c r="O34" s="1">
        <v>0.97</v>
      </c>
      <c r="P34" s="1">
        <v>480</v>
      </c>
      <c r="Q34" s="1">
        <v>25</v>
      </c>
      <c r="R34" s="1">
        <v>12</v>
      </c>
      <c r="S34" s="17">
        <v>43.33562428</v>
      </c>
    </row>
    <row r="35" spans="1:19">
      <c r="A35" s="1">
        <v>655</v>
      </c>
      <c r="B35" s="1">
        <v>246</v>
      </c>
      <c r="C35" s="16">
        <v>0.263616558</v>
      </c>
      <c r="D35" s="1">
        <v>604</v>
      </c>
      <c r="E35" s="1">
        <v>0</v>
      </c>
      <c r="F35" s="1">
        <v>118</v>
      </c>
      <c r="G35" s="1">
        <v>3.5</v>
      </c>
      <c r="H35" s="1">
        <v>0</v>
      </c>
      <c r="I35" s="1">
        <v>363</v>
      </c>
      <c r="J35" s="1">
        <v>0.02</v>
      </c>
      <c r="K35" s="1">
        <v>28</v>
      </c>
      <c r="L35" s="1">
        <v>3</v>
      </c>
      <c r="M35" s="1">
        <v>2.9</v>
      </c>
      <c r="N35" s="1">
        <v>116</v>
      </c>
      <c r="O35" s="1">
        <v>0.97</v>
      </c>
      <c r="P35" s="1">
        <v>480</v>
      </c>
      <c r="Q35" s="1">
        <v>25</v>
      </c>
      <c r="R35" s="1">
        <v>12</v>
      </c>
      <c r="S35" s="17">
        <v>44.2</v>
      </c>
    </row>
    <row r="36" spans="1:19">
      <c r="A36" s="1">
        <v>655</v>
      </c>
      <c r="B36" s="1">
        <v>246</v>
      </c>
      <c r="C36" s="16">
        <v>0.263616558</v>
      </c>
      <c r="D36" s="1">
        <v>604</v>
      </c>
      <c r="E36" s="1">
        <v>0</v>
      </c>
      <c r="F36" s="1">
        <v>118</v>
      </c>
      <c r="G36" s="1">
        <v>3.5</v>
      </c>
      <c r="H36" s="1">
        <v>0</v>
      </c>
      <c r="I36" s="1">
        <v>363</v>
      </c>
      <c r="J36" s="1">
        <v>0.02</v>
      </c>
      <c r="K36" s="1">
        <v>28</v>
      </c>
      <c r="L36" s="1">
        <v>3</v>
      </c>
      <c r="M36" s="1">
        <v>2.9</v>
      </c>
      <c r="N36" s="1">
        <v>116</v>
      </c>
      <c r="O36" s="1">
        <v>0.97</v>
      </c>
      <c r="P36" s="1">
        <v>480</v>
      </c>
      <c r="Q36" s="1">
        <v>25</v>
      </c>
      <c r="R36" s="1">
        <v>12</v>
      </c>
      <c r="S36" s="19">
        <v>0</v>
      </c>
    </row>
    <row r="37" spans="1:19">
      <c r="A37" s="1">
        <v>655</v>
      </c>
      <c r="B37" s="1">
        <v>246</v>
      </c>
      <c r="C37" s="16">
        <v>0.263616558</v>
      </c>
      <c r="D37" s="1">
        <v>604</v>
      </c>
      <c r="E37" s="1">
        <v>0</v>
      </c>
      <c r="F37" s="1">
        <v>118</v>
      </c>
      <c r="G37" s="1">
        <v>3.5</v>
      </c>
      <c r="H37" s="1">
        <v>0</v>
      </c>
      <c r="I37" s="1">
        <v>363</v>
      </c>
      <c r="J37" s="1">
        <v>0.02</v>
      </c>
      <c r="K37" s="1">
        <v>28</v>
      </c>
      <c r="L37" s="1">
        <v>1</v>
      </c>
      <c r="M37" s="1">
        <v>2.9</v>
      </c>
      <c r="N37" s="1">
        <v>116</v>
      </c>
      <c r="O37" s="1">
        <v>0.97</v>
      </c>
      <c r="P37" s="1">
        <v>480</v>
      </c>
      <c r="Q37" s="1">
        <v>25</v>
      </c>
      <c r="R37" s="1">
        <v>12</v>
      </c>
      <c r="S37" s="17">
        <v>34</v>
      </c>
    </row>
    <row r="38" spans="1:19">
      <c r="A38" s="1">
        <v>655</v>
      </c>
      <c r="B38" s="1">
        <v>246</v>
      </c>
      <c r="C38" s="16">
        <v>0.263616558</v>
      </c>
      <c r="D38" s="1">
        <v>604</v>
      </c>
      <c r="E38" s="1">
        <v>0</v>
      </c>
      <c r="F38" s="1">
        <v>118</v>
      </c>
      <c r="G38" s="1">
        <v>3.5</v>
      </c>
      <c r="H38" s="1">
        <v>0</v>
      </c>
      <c r="I38" s="1">
        <v>363</v>
      </c>
      <c r="J38" s="1">
        <v>0.02</v>
      </c>
      <c r="K38" s="1">
        <v>28</v>
      </c>
      <c r="L38" s="1">
        <v>1</v>
      </c>
      <c r="M38" s="1">
        <v>2.9</v>
      </c>
      <c r="N38" s="1">
        <v>116</v>
      </c>
      <c r="O38" s="1">
        <v>0.97</v>
      </c>
      <c r="P38" s="1">
        <v>480</v>
      </c>
      <c r="Q38" s="1">
        <v>25</v>
      </c>
      <c r="R38" s="1">
        <v>12</v>
      </c>
      <c r="S38" s="17">
        <v>53.6422965</v>
      </c>
    </row>
    <row r="39" spans="1:19">
      <c r="A39" s="1">
        <v>655</v>
      </c>
      <c r="B39" s="1">
        <v>246</v>
      </c>
      <c r="C39" s="16">
        <v>0.263616558</v>
      </c>
      <c r="D39" s="1">
        <v>604</v>
      </c>
      <c r="E39" s="1">
        <v>0</v>
      </c>
      <c r="F39" s="1">
        <v>118</v>
      </c>
      <c r="G39" s="1">
        <v>3.5</v>
      </c>
      <c r="H39" s="1">
        <v>0</v>
      </c>
      <c r="I39" s="1">
        <v>363</v>
      </c>
      <c r="J39" s="1">
        <v>0.02</v>
      </c>
      <c r="K39" s="1">
        <v>28</v>
      </c>
      <c r="L39" s="1">
        <v>1</v>
      </c>
      <c r="M39" s="1">
        <v>2.9</v>
      </c>
      <c r="N39" s="1">
        <v>116</v>
      </c>
      <c r="O39" s="1">
        <v>0.97</v>
      </c>
      <c r="P39" s="1">
        <v>480</v>
      </c>
      <c r="Q39" s="1">
        <v>25</v>
      </c>
      <c r="R39" s="1">
        <v>12</v>
      </c>
      <c r="S39" s="17">
        <v>38.2038235</v>
      </c>
    </row>
    <row r="40" spans="1:19">
      <c r="A40" s="1">
        <v>655</v>
      </c>
      <c r="B40" s="1">
        <v>246</v>
      </c>
      <c r="C40" s="16">
        <v>0.263616558</v>
      </c>
      <c r="D40" s="1">
        <v>604</v>
      </c>
      <c r="E40" s="1">
        <v>0</v>
      </c>
      <c r="F40" s="1">
        <v>118</v>
      </c>
      <c r="G40" s="1">
        <v>3.5</v>
      </c>
      <c r="H40" s="1">
        <v>0</v>
      </c>
      <c r="I40" s="1">
        <v>363</v>
      </c>
      <c r="J40" s="1">
        <v>0.02</v>
      </c>
      <c r="K40" s="1">
        <v>28</v>
      </c>
      <c r="L40" s="1">
        <v>1</v>
      </c>
      <c r="M40" s="1">
        <v>2.9</v>
      </c>
      <c r="N40" s="1">
        <v>116</v>
      </c>
      <c r="O40" s="1">
        <v>0.97</v>
      </c>
      <c r="P40" s="1">
        <v>480</v>
      </c>
      <c r="Q40" s="1">
        <v>25</v>
      </c>
      <c r="R40" s="1">
        <v>12</v>
      </c>
      <c r="S40" s="17">
        <v>48.44283161</v>
      </c>
    </row>
    <row r="41" spans="1:19">
      <c r="A41" s="1">
        <v>655</v>
      </c>
      <c r="B41" s="1">
        <v>246</v>
      </c>
      <c r="C41" s="16">
        <v>0.263616558</v>
      </c>
      <c r="D41" s="1">
        <v>604</v>
      </c>
      <c r="E41" s="1">
        <v>0</v>
      </c>
      <c r="F41" s="1">
        <v>118</v>
      </c>
      <c r="G41" s="1">
        <v>3.5</v>
      </c>
      <c r="H41" s="1">
        <v>0</v>
      </c>
      <c r="I41" s="1">
        <v>363</v>
      </c>
      <c r="J41" s="1">
        <v>0.02</v>
      </c>
      <c r="K41" s="1">
        <v>28</v>
      </c>
      <c r="L41" s="1">
        <v>2</v>
      </c>
      <c r="M41" s="1">
        <v>2.9</v>
      </c>
      <c r="N41" s="1">
        <v>116</v>
      </c>
      <c r="O41" s="1">
        <v>0.97</v>
      </c>
      <c r="P41" s="1">
        <v>480</v>
      </c>
      <c r="Q41" s="1">
        <v>25</v>
      </c>
      <c r="R41" s="1">
        <v>12</v>
      </c>
      <c r="S41" s="17">
        <v>47.84550733</v>
      </c>
    </row>
    <row r="42" spans="1:19">
      <c r="A42" s="1">
        <v>655</v>
      </c>
      <c r="B42" s="1">
        <v>246</v>
      </c>
      <c r="C42" s="16">
        <v>0.263616558</v>
      </c>
      <c r="D42" s="1">
        <v>604</v>
      </c>
      <c r="E42" s="1">
        <v>0</v>
      </c>
      <c r="F42" s="1">
        <v>118</v>
      </c>
      <c r="G42" s="1">
        <v>3.5</v>
      </c>
      <c r="H42" s="1">
        <v>0</v>
      </c>
      <c r="I42" s="1">
        <v>363</v>
      </c>
      <c r="J42" s="1">
        <v>0.02</v>
      </c>
      <c r="K42" s="1">
        <v>28</v>
      </c>
      <c r="L42" s="1">
        <v>2</v>
      </c>
      <c r="M42" s="1">
        <v>2.9</v>
      </c>
      <c r="N42" s="1">
        <v>116</v>
      </c>
      <c r="O42" s="1">
        <v>0.97</v>
      </c>
      <c r="P42" s="1">
        <v>480</v>
      </c>
      <c r="Q42" s="1">
        <v>25</v>
      </c>
      <c r="R42" s="1">
        <v>12</v>
      </c>
      <c r="S42" s="17">
        <v>38.77387895</v>
      </c>
    </row>
    <row r="43" spans="1:19">
      <c r="A43" s="1">
        <v>655</v>
      </c>
      <c r="B43" s="1">
        <v>246</v>
      </c>
      <c r="C43" s="16">
        <v>0.263616558</v>
      </c>
      <c r="D43" s="1">
        <v>604</v>
      </c>
      <c r="E43" s="1">
        <v>0</v>
      </c>
      <c r="F43" s="1">
        <v>118</v>
      </c>
      <c r="G43" s="1">
        <v>3.5</v>
      </c>
      <c r="H43" s="1">
        <v>0</v>
      </c>
      <c r="I43" s="1">
        <v>363</v>
      </c>
      <c r="J43" s="1">
        <v>0.02</v>
      </c>
      <c r="K43" s="1">
        <v>28</v>
      </c>
      <c r="L43" s="1">
        <v>2</v>
      </c>
      <c r="M43" s="1">
        <v>2.9</v>
      </c>
      <c r="N43" s="1">
        <v>116</v>
      </c>
      <c r="O43" s="1">
        <v>0.97</v>
      </c>
      <c r="P43" s="1">
        <v>480</v>
      </c>
      <c r="Q43" s="1">
        <v>25</v>
      </c>
      <c r="R43" s="1">
        <v>12</v>
      </c>
      <c r="S43" s="1">
        <v>34.5</v>
      </c>
    </row>
    <row r="44" spans="1:19">
      <c r="A44" s="1">
        <v>655</v>
      </c>
      <c r="B44" s="1">
        <v>246</v>
      </c>
      <c r="C44" s="16">
        <v>0.263616558</v>
      </c>
      <c r="D44" s="1">
        <v>604</v>
      </c>
      <c r="E44" s="1">
        <v>0</v>
      </c>
      <c r="F44" s="1">
        <v>118</v>
      </c>
      <c r="G44" s="1">
        <v>3.5</v>
      </c>
      <c r="H44" s="1">
        <v>0</v>
      </c>
      <c r="I44" s="1">
        <v>363</v>
      </c>
      <c r="J44" s="1">
        <v>0.02</v>
      </c>
      <c r="K44" s="1">
        <v>28</v>
      </c>
      <c r="L44" s="1">
        <v>2</v>
      </c>
      <c r="M44" s="1">
        <v>2.9</v>
      </c>
      <c r="N44" s="1">
        <v>116</v>
      </c>
      <c r="O44" s="1">
        <v>0.97</v>
      </c>
      <c r="P44" s="1">
        <v>480</v>
      </c>
      <c r="Q44" s="1">
        <v>25</v>
      </c>
      <c r="R44" s="1">
        <v>12</v>
      </c>
      <c r="S44" s="1">
        <v>35.3</v>
      </c>
    </row>
    <row r="45" spans="1:19">
      <c r="A45" s="1">
        <v>483</v>
      </c>
      <c r="B45" s="1">
        <v>1074</v>
      </c>
      <c r="C45" s="16">
        <v>0.169617894</v>
      </c>
      <c r="D45" s="1">
        <v>0</v>
      </c>
      <c r="E45" s="1">
        <v>322</v>
      </c>
      <c r="F45" s="1">
        <v>268</v>
      </c>
      <c r="G45" s="1">
        <v>10.7</v>
      </c>
      <c r="H45" s="1">
        <v>0</v>
      </c>
      <c r="I45" s="1">
        <v>182</v>
      </c>
      <c r="J45" s="1">
        <v>0</v>
      </c>
      <c r="K45" s="1">
        <v>28</v>
      </c>
      <c r="L45" s="1">
        <v>1</v>
      </c>
      <c r="M45" s="1">
        <v>2.4</v>
      </c>
      <c r="N45" s="1">
        <v>200</v>
      </c>
      <c r="O45" s="1">
        <v>0.785</v>
      </c>
      <c r="P45" s="1">
        <v>150</v>
      </c>
      <c r="Q45" s="1">
        <v>20</v>
      </c>
      <c r="R45" s="1">
        <v>3</v>
      </c>
      <c r="S45" s="1">
        <v>88</v>
      </c>
    </row>
    <row r="46" spans="1:19">
      <c r="A46" s="1">
        <v>483</v>
      </c>
      <c r="B46" s="1">
        <v>1074</v>
      </c>
      <c r="C46" s="16">
        <v>0.169617894</v>
      </c>
      <c r="D46" s="1">
        <v>0</v>
      </c>
      <c r="E46" s="1">
        <v>322</v>
      </c>
      <c r="F46" s="1">
        <v>268</v>
      </c>
      <c r="G46" s="1">
        <v>10.7</v>
      </c>
      <c r="H46" s="1">
        <v>0</v>
      </c>
      <c r="I46" s="1">
        <v>182</v>
      </c>
      <c r="J46" s="1">
        <v>0</v>
      </c>
      <c r="K46" s="1">
        <v>28</v>
      </c>
      <c r="L46" s="1">
        <v>2</v>
      </c>
      <c r="M46" s="1">
        <v>2.4</v>
      </c>
      <c r="N46" s="1">
        <v>200</v>
      </c>
      <c r="O46" s="1">
        <v>0.785</v>
      </c>
      <c r="P46" s="1">
        <v>150</v>
      </c>
      <c r="Q46" s="1">
        <v>20</v>
      </c>
      <c r="R46" s="1">
        <v>3</v>
      </c>
      <c r="S46" s="1">
        <v>90</v>
      </c>
    </row>
    <row r="47" spans="1:19">
      <c r="A47" s="1">
        <v>483</v>
      </c>
      <c r="B47" s="1">
        <v>1074</v>
      </c>
      <c r="C47" s="16">
        <v>0.169617894</v>
      </c>
      <c r="D47" s="1">
        <v>0</v>
      </c>
      <c r="E47" s="1">
        <v>322</v>
      </c>
      <c r="F47" s="1">
        <v>268</v>
      </c>
      <c r="G47" s="1">
        <v>10.7</v>
      </c>
      <c r="H47" s="1">
        <v>0</v>
      </c>
      <c r="I47" s="1">
        <v>182</v>
      </c>
      <c r="J47" s="1">
        <v>0</v>
      </c>
      <c r="K47" s="1">
        <v>28</v>
      </c>
      <c r="L47" s="1">
        <v>3</v>
      </c>
      <c r="M47" s="1">
        <v>2.4</v>
      </c>
      <c r="N47" s="1">
        <v>200</v>
      </c>
      <c r="O47" s="1">
        <v>0.785</v>
      </c>
      <c r="P47" s="1">
        <v>150</v>
      </c>
      <c r="Q47" s="1">
        <v>20</v>
      </c>
      <c r="R47" s="1">
        <v>3</v>
      </c>
      <c r="S47" s="1">
        <v>95</v>
      </c>
    </row>
    <row r="48" spans="1:19">
      <c r="A48" s="1">
        <v>483</v>
      </c>
      <c r="B48" s="1">
        <v>1074</v>
      </c>
      <c r="C48" s="16">
        <v>0.169617894</v>
      </c>
      <c r="D48" s="1">
        <v>0</v>
      </c>
      <c r="E48" s="1">
        <v>322</v>
      </c>
      <c r="F48" s="1">
        <v>268</v>
      </c>
      <c r="G48" s="1">
        <v>10.7</v>
      </c>
      <c r="H48" s="1">
        <v>0</v>
      </c>
      <c r="I48" s="1">
        <v>182</v>
      </c>
      <c r="J48" s="1">
        <v>0</v>
      </c>
      <c r="K48" s="1">
        <v>28</v>
      </c>
      <c r="L48" s="1">
        <v>1</v>
      </c>
      <c r="M48" s="1">
        <v>2.4</v>
      </c>
      <c r="N48" s="1">
        <v>200</v>
      </c>
      <c r="O48" s="1">
        <v>0.785</v>
      </c>
      <c r="P48" s="1">
        <v>150</v>
      </c>
      <c r="Q48" s="1">
        <v>20</v>
      </c>
      <c r="R48" s="1">
        <v>3</v>
      </c>
      <c r="S48" s="1">
        <v>92</v>
      </c>
    </row>
    <row r="49" spans="1:19">
      <c r="A49" s="1">
        <v>483</v>
      </c>
      <c r="B49" s="1">
        <v>1074</v>
      </c>
      <c r="C49" s="16">
        <v>0.169617894</v>
      </c>
      <c r="D49" s="1">
        <v>0</v>
      </c>
      <c r="E49" s="1">
        <v>322</v>
      </c>
      <c r="F49" s="1">
        <v>268</v>
      </c>
      <c r="G49" s="1">
        <v>10.7</v>
      </c>
      <c r="H49" s="1">
        <v>0</v>
      </c>
      <c r="I49" s="1">
        <v>182</v>
      </c>
      <c r="J49" s="1">
        <v>0</v>
      </c>
      <c r="K49" s="1">
        <v>28</v>
      </c>
      <c r="L49" s="1">
        <v>2</v>
      </c>
      <c r="M49" s="1">
        <v>2.4</v>
      </c>
      <c r="N49" s="1">
        <v>200</v>
      </c>
      <c r="O49" s="1">
        <v>0.785</v>
      </c>
      <c r="P49" s="1">
        <v>150</v>
      </c>
      <c r="Q49" s="1">
        <v>20</v>
      </c>
      <c r="R49" s="1">
        <v>3</v>
      </c>
      <c r="S49" s="1">
        <v>93</v>
      </c>
    </row>
    <row r="50" spans="1:19">
      <c r="A50" s="1">
        <v>483</v>
      </c>
      <c r="B50" s="1">
        <v>1074</v>
      </c>
      <c r="C50" s="16">
        <v>0.169617894</v>
      </c>
      <c r="D50" s="1">
        <v>0</v>
      </c>
      <c r="E50" s="1">
        <v>322</v>
      </c>
      <c r="F50" s="1">
        <v>268</v>
      </c>
      <c r="G50" s="1">
        <v>10.7</v>
      </c>
      <c r="H50" s="1">
        <v>0</v>
      </c>
      <c r="I50" s="1">
        <v>182</v>
      </c>
      <c r="J50" s="1">
        <v>0</v>
      </c>
      <c r="K50" s="1">
        <v>28</v>
      </c>
      <c r="L50" s="1">
        <v>3</v>
      </c>
      <c r="M50" s="1">
        <v>2.4</v>
      </c>
      <c r="N50" s="1">
        <v>200</v>
      </c>
      <c r="O50" s="1">
        <v>0.785</v>
      </c>
      <c r="P50" s="1">
        <v>150</v>
      </c>
      <c r="Q50" s="1">
        <v>20</v>
      </c>
      <c r="R50" s="1">
        <v>3</v>
      </c>
      <c r="S50" s="1">
        <v>97</v>
      </c>
    </row>
    <row r="51" spans="1:19">
      <c r="A51" s="1">
        <v>483</v>
      </c>
      <c r="B51" s="1">
        <v>1074</v>
      </c>
      <c r="C51" s="16">
        <v>0.169617894</v>
      </c>
      <c r="D51" s="1">
        <v>0</v>
      </c>
      <c r="E51" s="1">
        <v>322</v>
      </c>
      <c r="F51" s="1">
        <v>268</v>
      </c>
      <c r="G51" s="1">
        <v>10.7</v>
      </c>
      <c r="H51" s="1">
        <v>0</v>
      </c>
      <c r="I51" s="1">
        <v>182</v>
      </c>
      <c r="J51" s="1">
        <v>0</v>
      </c>
      <c r="K51" s="1">
        <v>28</v>
      </c>
      <c r="L51" s="1">
        <v>1</v>
      </c>
      <c r="M51" s="1">
        <v>2.4</v>
      </c>
      <c r="N51" s="1">
        <v>200</v>
      </c>
      <c r="O51" s="1">
        <v>0.785</v>
      </c>
      <c r="P51" s="1">
        <v>150</v>
      </c>
      <c r="Q51" s="1">
        <v>20</v>
      </c>
      <c r="R51" s="1">
        <v>3</v>
      </c>
      <c r="S51" s="1">
        <v>87</v>
      </c>
    </row>
    <row r="52" spans="1:19">
      <c r="A52" s="1">
        <v>483</v>
      </c>
      <c r="B52" s="1">
        <v>1074</v>
      </c>
      <c r="C52" s="16">
        <v>0.169617894</v>
      </c>
      <c r="D52" s="1">
        <v>0</v>
      </c>
      <c r="E52" s="1">
        <v>322</v>
      </c>
      <c r="F52" s="1">
        <v>268</v>
      </c>
      <c r="G52" s="1">
        <v>10.7</v>
      </c>
      <c r="H52" s="1">
        <v>0</v>
      </c>
      <c r="I52" s="1">
        <v>182</v>
      </c>
      <c r="J52" s="1">
        <v>0</v>
      </c>
      <c r="K52" s="1">
        <v>28</v>
      </c>
      <c r="L52" s="1">
        <v>2</v>
      </c>
      <c r="M52" s="1">
        <v>2.4</v>
      </c>
      <c r="N52" s="1">
        <v>200</v>
      </c>
      <c r="O52" s="1">
        <v>0.785</v>
      </c>
      <c r="P52" s="1">
        <v>150</v>
      </c>
      <c r="Q52" s="1">
        <v>20</v>
      </c>
      <c r="R52" s="1">
        <v>3</v>
      </c>
      <c r="S52" s="1">
        <v>91</v>
      </c>
    </row>
    <row r="53" spans="1:19">
      <c r="A53" s="1">
        <v>483</v>
      </c>
      <c r="B53" s="1">
        <v>1074</v>
      </c>
      <c r="C53" s="16">
        <v>0.169617894</v>
      </c>
      <c r="D53" s="1">
        <v>0</v>
      </c>
      <c r="E53" s="1">
        <v>322</v>
      </c>
      <c r="F53" s="1">
        <v>268</v>
      </c>
      <c r="G53" s="1">
        <v>10.7</v>
      </c>
      <c r="H53" s="1">
        <v>0</v>
      </c>
      <c r="I53" s="1">
        <v>182</v>
      </c>
      <c r="J53" s="1">
        <v>0</v>
      </c>
      <c r="K53" s="1">
        <v>28</v>
      </c>
      <c r="L53" s="1">
        <v>3</v>
      </c>
      <c r="M53" s="1">
        <v>2.4</v>
      </c>
      <c r="N53" s="1">
        <v>200</v>
      </c>
      <c r="O53" s="1">
        <v>0.785</v>
      </c>
      <c r="P53" s="1">
        <v>150</v>
      </c>
      <c r="Q53" s="1">
        <v>20</v>
      </c>
      <c r="R53" s="1">
        <v>3</v>
      </c>
      <c r="S53" s="1">
        <v>95</v>
      </c>
    </row>
    <row r="54" spans="1:19">
      <c r="A54" s="1">
        <v>483</v>
      </c>
      <c r="B54" s="1">
        <v>1074</v>
      </c>
      <c r="C54" s="16">
        <v>0.169617894</v>
      </c>
      <c r="D54" s="1">
        <v>0</v>
      </c>
      <c r="E54" s="1">
        <v>322</v>
      </c>
      <c r="F54" s="1">
        <v>268</v>
      </c>
      <c r="G54" s="1">
        <v>10.7</v>
      </c>
      <c r="H54" s="1">
        <v>0</v>
      </c>
      <c r="I54" s="1">
        <v>182</v>
      </c>
      <c r="J54" s="1">
        <v>0.0025</v>
      </c>
      <c r="K54" s="1">
        <v>28</v>
      </c>
      <c r="L54" s="1">
        <v>1</v>
      </c>
      <c r="M54" s="1">
        <v>2.4</v>
      </c>
      <c r="N54" s="1">
        <v>200</v>
      </c>
      <c r="O54" s="1">
        <v>0.785</v>
      </c>
      <c r="P54" s="1">
        <v>150</v>
      </c>
      <c r="Q54" s="1">
        <v>20</v>
      </c>
      <c r="R54" s="1">
        <v>3</v>
      </c>
      <c r="S54" s="1">
        <v>102</v>
      </c>
    </row>
    <row r="55" spans="1:19">
      <c r="A55" s="1">
        <v>483</v>
      </c>
      <c r="B55" s="1">
        <v>1074</v>
      </c>
      <c r="C55" s="16">
        <v>0.169617894</v>
      </c>
      <c r="D55" s="1">
        <v>0</v>
      </c>
      <c r="E55" s="1">
        <v>322</v>
      </c>
      <c r="F55" s="1">
        <v>268</v>
      </c>
      <c r="G55" s="1">
        <v>10.7</v>
      </c>
      <c r="H55" s="1">
        <v>0</v>
      </c>
      <c r="I55" s="1">
        <v>182</v>
      </c>
      <c r="J55" s="1">
        <v>0.0025</v>
      </c>
      <c r="K55" s="1">
        <v>28</v>
      </c>
      <c r="L55" s="1">
        <v>2</v>
      </c>
      <c r="M55" s="1">
        <v>2.4</v>
      </c>
      <c r="N55" s="1">
        <v>200</v>
      </c>
      <c r="O55" s="1">
        <v>0.785</v>
      </c>
      <c r="P55" s="1">
        <v>150</v>
      </c>
      <c r="Q55" s="1">
        <v>20</v>
      </c>
      <c r="R55" s="1">
        <v>3</v>
      </c>
      <c r="S55" s="1">
        <v>113</v>
      </c>
    </row>
    <row r="56" spans="1:19">
      <c r="A56" s="1">
        <v>483</v>
      </c>
      <c r="B56" s="1">
        <v>1074</v>
      </c>
      <c r="C56" s="16">
        <v>0.169617894</v>
      </c>
      <c r="D56" s="1">
        <v>0</v>
      </c>
      <c r="E56" s="1">
        <v>322</v>
      </c>
      <c r="F56" s="1">
        <v>268</v>
      </c>
      <c r="G56" s="1">
        <v>10.7</v>
      </c>
      <c r="H56" s="1">
        <v>0</v>
      </c>
      <c r="I56" s="1">
        <v>182</v>
      </c>
      <c r="J56" s="1">
        <v>0.0025</v>
      </c>
      <c r="K56" s="1">
        <v>28</v>
      </c>
      <c r="L56" s="1">
        <v>3</v>
      </c>
      <c r="M56" s="1">
        <v>2.4</v>
      </c>
      <c r="N56" s="1">
        <v>200</v>
      </c>
      <c r="O56" s="1">
        <v>0.785</v>
      </c>
      <c r="P56" s="1">
        <v>150</v>
      </c>
      <c r="Q56" s="1">
        <v>20</v>
      </c>
      <c r="R56" s="1">
        <v>3</v>
      </c>
      <c r="S56" s="1">
        <v>70</v>
      </c>
    </row>
    <row r="57" spans="1:19">
      <c r="A57" s="1">
        <v>483</v>
      </c>
      <c r="B57" s="1">
        <v>1074</v>
      </c>
      <c r="C57" s="16">
        <v>0.169617894</v>
      </c>
      <c r="D57" s="1">
        <v>0</v>
      </c>
      <c r="E57" s="1">
        <v>322</v>
      </c>
      <c r="F57" s="1">
        <v>268</v>
      </c>
      <c r="G57" s="1">
        <v>10.7</v>
      </c>
      <c r="H57" s="1">
        <v>0</v>
      </c>
      <c r="I57" s="1">
        <v>182</v>
      </c>
      <c r="J57" s="1">
        <v>0.0025</v>
      </c>
      <c r="K57" s="1">
        <v>28</v>
      </c>
      <c r="L57" s="1">
        <v>1</v>
      </c>
      <c r="M57" s="1">
        <v>2.4</v>
      </c>
      <c r="N57" s="1">
        <v>200</v>
      </c>
      <c r="O57" s="1">
        <v>0.785</v>
      </c>
      <c r="P57" s="1">
        <v>150</v>
      </c>
      <c r="Q57" s="1">
        <v>20</v>
      </c>
      <c r="R57" s="1">
        <v>3</v>
      </c>
      <c r="S57" s="1">
        <v>116</v>
      </c>
    </row>
    <row r="58" spans="1:19">
      <c r="A58" s="1">
        <v>483</v>
      </c>
      <c r="B58" s="1">
        <v>1074</v>
      </c>
      <c r="C58" s="16">
        <v>0.169617894</v>
      </c>
      <c r="D58" s="1">
        <v>0</v>
      </c>
      <c r="E58" s="1">
        <v>322</v>
      </c>
      <c r="F58" s="1">
        <v>268</v>
      </c>
      <c r="G58" s="1">
        <v>10.7</v>
      </c>
      <c r="H58" s="1">
        <v>0</v>
      </c>
      <c r="I58" s="1">
        <v>182</v>
      </c>
      <c r="J58" s="1">
        <v>0.0025</v>
      </c>
      <c r="K58" s="1">
        <v>28</v>
      </c>
      <c r="L58" s="1">
        <v>2</v>
      </c>
      <c r="M58" s="1">
        <v>2.4</v>
      </c>
      <c r="N58" s="1">
        <v>200</v>
      </c>
      <c r="O58" s="1">
        <v>0.785</v>
      </c>
      <c r="P58" s="1">
        <v>150</v>
      </c>
      <c r="Q58" s="1">
        <v>20</v>
      </c>
      <c r="R58" s="1">
        <v>3</v>
      </c>
      <c r="S58" s="1">
        <v>114</v>
      </c>
    </row>
    <row r="59" spans="1:19">
      <c r="A59" s="1">
        <v>483</v>
      </c>
      <c r="B59" s="1">
        <v>1074</v>
      </c>
      <c r="C59" s="16">
        <v>0.169617894</v>
      </c>
      <c r="D59" s="1">
        <v>0</v>
      </c>
      <c r="E59" s="1">
        <v>322</v>
      </c>
      <c r="F59" s="1">
        <v>268</v>
      </c>
      <c r="G59" s="1">
        <v>10.7</v>
      </c>
      <c r="H59" s="1">
        <v>0</v>
      </c>
      <c r="I59" s="1">
        <v>182</v>
      </c>
      <c r="J59" s="1">
        <v>0.0025</v>
      </c>
      <c r="K59" s="1">
        <v>28</v>
      </c>
      <c r="L59" s="1">
        <v>3</v>
      </c>
      <c r="M59" s="1">
        <v>2.4</v>
      </c>
      <c r="N59" s="1">
        <v>200</v>
      </c>
      <c r="O59" s="1">
        <v>0.785</v>
      </c>
      <c r="P59" s="1">
        <v>150</v>
      </c>
      <c r="Q59" s="1">
        <v>20</v>
      </c>
      <c r="R59" s="1">
        <v>3</v>
      </c>
      <c r="S59" s="1">
        <v>75</v>
      </c>
    </row>
    <row r="60" spans="1:19">
      <c r="A60" s="1">
        <v>483</v>
      </c>
      <c r="B60" s="1">
        <v>1074</v>
      </c>
      <c r="C60" s="16">
        <v>0.169617894</v>
      </c>
      <c r="D60" s="1">
        <v>0</v>
      </c>
      <c r="E60" s="1">
        <v>322</v>
      </c>
      <c r="F60" s="1">
        <v>268</v>
      </c>
      <c r="G60" s="1">
        <v>10.7</v>
      </c>
      <c r="H60" s="1">
        <v>0</v>
      </c>
      <c r="I60" s="1">
        <v>182</v>
      </c>
      <c r="J60" s="1">
        <v>0.0025</v>
      </c>
      <c r="K60" s="1">
        <v>28</v>
      </c>
      <c r="L60" s="1">
        <v>1</v>
      </c>
      <c r="M60" s="1">
        <v>2.4</v>
      </c>
      <c r="N60" s="1">
        <v>200</v>
      </c>
      <c r="O60" s="1">
        <v>0.785</v>
      </c>
      <c r="P60" s="1">
        <v>150</v>
      </c>
      <c r="Q60" s="1">
        <v>20</v>
      </c>
      <c r="R60" s="1">
        <v>3</v>
      </c>
      <c r="S60" s="1">
        <v>98</v>
      </c>
    </row>
    <row r="61" spans="1:19">
      <c r="A61" s="1">
        <v>483</v>
      </c>
      <c r="B61" s="1">
        <v>1074</v>
      </c>
      <c r="C61" s="16">
        <v>0.169617894</v>
      </c>
      <c r="D61" s="1">
        <v>0</v>
      </c>
      <c r="E61" s="1">
        <v>322</v>
      </c>
      <c r="F61" s="1">
        <v>268</v>
      </c>
      <c r="G61" s="1">
        <v>10.7</v>
      </c>
      <c r="H61" s="1">
        <v>0</v>
      </c>
      <c r="I61" s="1">
        <v>182</v>
      </c>
      <c r="J61" s="1">
        <v>0.0025</v>
      </c>
      <c r="K61" s="1">
        <v>28</v>
      </c>
      <c r="L61" s="1">
        <v>2</v>
      </c>
      <c r="M61" s="1">
        <v>2.4</v>
      </c>
      <c r="N61" s="1">
        <v>200</v>
      </c>
      <c r="O61" s="1">
        <v>0.785</v>
      </c>
      <c r="P61" s="1">
        <v>150</v>
      </c>
      <c r="Q61" s="1">
        <v>20</v>
      </c>
      <c r="R61" s="1">
        <v>3</v>
      </c>
      <c r="S61" s="1">
        <v>110</v>
      </c>
    </row>
    <row r="62" spans="1:19">
      <c r="A62" s="1">
        <v>483</v>
      </c>
      <c r="B62" s="1">
        <v>1074</v>
      </c>
      <c r="C62" s="16">
        <v>0.169617894</v>
      </c>
      <c r="D62" s="1">
        <v>0</v>
      </c>
      <c r="E62" s="1">
        <v>322</v>
      </c>
      <c r="F62" s="1">
        <v>268</v>
      </c>
      <c r="G62" s="1">
        <v>10.7</v>
      </c>
      <c r="H62" s="1">
        <v>0</v>
      </c>
      <c r="I62" s="1">
        <v>182</v>
      </c>
      <c r="J62" s="1">
        <v>0.0025</v>
      </c>
      <c r="K62" s="1">
        <v>28</v>
      </c>
      <c r="L62" s="1">
        <v>3</v>
      </c>
      <c r="M62" s="1">
        <v>2.4</v>
      </c>
      <c r="N62" s="1">
        <v>200</v>
      </c>
      <c r="O62" s="1">
        <v>0.785</v>
      </c>
      <c r="P62" s="1">
        <v>150</v>
      </c>
      <c r="Q62" s="1">
        <v>20</v>
      </c>
      <c r="R62" s="1">
        <v>3</v>
      </c>
      <c r="S62" s="1">
        <v>68</v>
      </c>
    </row>
    <row r="63" spans="1:19">
      <c r="A63" s="1">
        <v>483</v>
      </c>
      <c r="B63" s="1">
        <v>1074</v>
      </c>
      <c r="C63" s="16">
        <v>0.169617894</v>
      </c>
      <c r="D63" s="1">
        <v>0</v>
      </c>
      <c r="E63" s="1">
        <v>322</v>
      </c>
      <c r="F63" s="1">
        <v>268</v>
      </c>
      <c r="G63" s="1">
        <v>10.7</v>
      </c>
      <c r="H63" s="1">
        <v>0</v>
      </c>
      <c r="I63" s="1">
        <v>182</v>
      </c>
      <c r="J63" s="1">
        <v>0.005</v>
      </c>
      <c r="K63" s="1">
        <v>28</v>
      </c>
      <c r="L63" s="1">
        <v>1</v>
      </c>
      <c r="M63" s="1">
        <v>2.4</v>
      </c>
      <c r="N63" s="1">
        <v>200</v>
      </c>
      <c r="O63" s="1">
        <v>0.785</v>
      </c>
      <c r="P63" s="1">
        <v>150</v>
      </c>
      <c r="Q63" s="1">
        <v>20</v>
      </c>
      <c r="R63" s="1">
        <v>3</v>
      </c>
      <c r="S63" s="1">
        <v>84</v>
      </c>
    </row>
    <row r="64" spans="1:19">
      <c r="A64" s="1">
        <v>483</v>
      </c>
      <c r="B64" s="1">
        <v>1074</v>
      </c>
      <c r="C64" s="16">
        <v>0.169617894</v>
      </c>
      <c r="D64" s="1">
        <v>0</v>
      </c>
      <c r="E64" s="1">
        <v>322</v>
      </c>
      <c r="F64" s="1">
        <v>268</v>
      </c>
      <c r="G64" s="1">
        <v>10.7</v>
      </c>
      <c r="H64" s="1">
        <v>0</v>
      </c>
      <c r="I64" s="1">
        <v>182</v>
      </c>
      <c r="J64" s="1">
        <v>0.005</v>
      </c>
      <c r="K64" s="1">
        <v>28</v>
      </c>
      <c r="L64" s="1">
        <v>2</v>
      </c>
      <c r="M64" s="1">
        <v>2.4</v>
      </c>
      <c r="N64" s="1">
        <v>200</v>
      </c>
      <c r="O64" s="1">
        <v>0.785</v>
      </c>
      <c r="P64" s="1">
        <v>150</v>
      </c>
      <c r="Q64" s="1">
        <v>20</v>
      </c>
      <c r="R64" s="1">
        <v>3</v>
      </c>
      <c r="S64" s="1">
        <v>105</v>
      </c>
    </row>
    <row r="65" spans="1:19">
      <c r="A65" s="1">
        <v>483</v>
      </c>
      <c r="B65" s="1">
        <v>1074</v>
      </c>
      <c r="C65" s="16">
        <v>0.169617894</v>
      </c>
      <c r="D65" s="1">
        <v>0</v>
      </c>
      <c r="E65" s="1">
        <v>322</v>
      </c>
      <c r="F65" s="1">
        <v>268</v>
      </c>
      <c r="G65" s="1">
        <v>10.7</v>
      </c>
      <c r="H65" s="1">
        <v>0</v>
      </c>
      <c r="I65" s="1">
        <v>182</v>
      </c>
      <c r="J65" s="1">
        <v>0.005</v>
      </c>
      <c r="K65" s="1">
        <v>28</v>
      </c>
      <c r="L65" s="1">
        <v>3</v>
      </c>
      <c r="M65" s="1">
        <v>2.4</v>
      </c>
      <c r="N65" s="1">
        <v>200</v>
      </c>
      <c r="O65" s="1">
        <v>0.785</v>
      </c>
      <c r="P65" s="1">
        <v>150</v>
      </c>
      <c r="Q65" s="1">
        <v>20</v>
      </c>
      <c r="R65" s="1">
        <v>3</v>
      </c>
      <c r="S65" s="1">
        <v>83</v>
      </c>
    </row>
    <row r="66" spans="1:19">
      <c r="A66" s="1">
        <v>483</v>
      </c>
      <c r="B66" s="1">
        <v>1074</v>
      </c>
      <c r="C66" s="16">
        <v>0.169617894</v>
      </c>
      <c r="D66" s="1">
        <v>0</v>
      </c>
      <c r="E66" s="1">
        <v>322</v>
      </c>
      <c r="F66" s="1">
        <v>268</v>
      </c>
      <c r="G66" s="1">
        <v>10.7</v>
      </c>
      <c r="H66" s="1">
        <v>0</v>
      </c>
      <c r="I66" s="1">
        <v>182</v>
      </c>
      <c r="J66" s="1">
        <v>0.005</v>
      </c>
      <c r="K66" s="1">
        <v>28</v>
      </c>
      <c r="L66" s="1">
        <v>1</v>
      </c>
      <c r="M66" s="1">
        <v>2.4</v>
      </c>
      <c r="N66" s="1">
        <v>200</v>
      </c>
      <c r="O66" s="1">
        <v>0.785</v>
      </c>
      <c r="P66" s="1">
        <v>150</v>
      </c>
      <c r="Q66" s="1">
        <v>20</v>
      </c>
      <c r="R66" s="1">
        <v>3</v>
      </c>
      <c r="S66" s="1">
        <v>85.5</v>
      </c>
    </row>
    <row r="67" spans="1:19">
      <c r="A67" s="1">
        <v>483</v>
      </c>
      <c r="B67" s="1">
        <v>1074</v>
      </c>
      <c r="C67" s="16">
        <v>0.169617894</v>
      </c>
      <c r="D67" s="1">
        <v>0</v>
      </c>
      <c r="E67" s="1">
        <v>322</v>
      </c>
      <c r="F67" s="1">
        <v>268</v>
      </c>
      <c r="G67" s="1">
        <v>10.7</v>
      </c>
      <c r="H67" s="1">
        <v>0</v>
      </c>
      <c r="I67" s="1">
        <v>182</v>
      </c>
      <c r="J67" s="1">
        <v>0.005</v>
      </c>
      <c r="K67" s="1">
        <v>28</v>
      </c>
      <c r="L67" s="1">
        <v>2</v>
      </c>
      <c r="M67" s="1">
        <v>2.4</v>
      </c>
      <c r="N67" s="1">
        <v>200</v>
      </c>
      <c r="O67" s="1">
        <v>0.785</v>
      </c>
      <c r="P67" s="1">
        <v>150</v>
      </c>
      <c r="Q67" s="1">
        <v>20</v>
      </c>
      <c r="R67" s="1">
        <v>3</v>
      </c>
      <c r="S67" s="1">
        <v>108</v>
      </c>
    </row>
    <row r="68" spans="1:19">
      <c r="A68" s="1">
        <v>483</v>
      </c>
      <c r="B68" s="1">
        <v>1074</v>
      </c>
      <c r="C68" s="16">
        <v>0.169617894</v>
      </c>
      <c r="D68" s="1">
        <v>0</v>
      </c>
      <c r="E68" s="1">
        <v>322</v>
      </c>
      <c r="F68" s="1">
        <v>268</v>
      </c>
      <c r="G68" s="1">
        <v>10.7</v>
      </c>
      <c r="H68" s="1">
        <v>0</v>
      </c>
      <c r="I68" s="1">
        <v>182</v>
      </c>
      <c r="J68" s="1">
        <v>0.005</v>
      </c>
      <c r="K68" s="1">
        <v>28</v>
      </c>
      <c r="L68" s="1">
        <v>3</v>
      </c>
      <c r="M68" s="1">
        <v>2.4</v>
      </c>
      <c r="N68" s="1">
        <v>200</v>
      </c>
      <c r="O68" s="1">
        <v>0.785</v>
      </c>
      <c r="P68" s="1">
        <v>150</v>
      </c>
      <c r="Q68" s="1">
        <v>20</v>
      </c>
      <c r="R68" s="1">
        <v>3</v>
      </c>
      <c r="S68" s="1">
        <v>92</v>
      </c>
    </row>
    <row r="69" spans="1:19">
      <c r="A69" s="1">
        <v>483</v>
      </c>
      <c r="B69" s="1">
        <v>1074</v>
      </c>
      <c r="C69" s="16">
        <v>0.169617894</v>
      </c>
      <c r="D69" s="1">
        <v>0</v>
      </c>
      <c r="E69" s="1">
        <v>322</v>
      </c>
      <c r="F69" s="1">
        <v>268</v>
      </c>
      <c r="G69" s="1">
        <v>10.7</v>
      </c>
      <c r="H69" s="1">
        <v>0</v>
      </c>
      <c r="I69" s="1">
        <v>182</v>
      </c>
      <c r="J69" s="1">
        <v>0.005</v>
      </c>
      <c r="K69" s="1">
        <v>28</v>
      </c>
      <c r="L69" s="1">
        <v>1</v>
      </c>
      <c r="M69" s="1">
        <v>2.4</v>
      </c>
      <c r="N69" s="1">
        <v>200</v>
      </c>
      <c r="O69" s="1">
        <v>0.785</v>
      </c>
      <c r="P69" s="1">
        <v>150</v>
      </c>
      <c r="Q69" s="1">
        <v>20</v>
      </c>
      <c r="R69" s="1">
        <v>3</v>
      </c>
      <c r="S69" s="1">
        <v>83</v>
      </c>
    </row>
    <row r="70" spans="1:19">
      <c r="A70" s="1">
        <v>483</v>
      </c>
      <c r="B70" s="1">
        <v>1074</v>
      </c>
      <c r="C70" s="16">
        <v>0.169617894</v>
      </c>
      <c r="D70" s="1">
        <v>0</v>
      </c>
      <c r="E70" s="1">
        <v>322</v>
      </c>
      <c r="F70" s="1">
        <v>268</v>
      </c>
      <c r="G70" s="1">
        <v>10.7</v>
      </c>
      <c r="H70" s="1">
        <v>0</v>
      </c>
      <c r="I70" s="1">
        <v>182</v>
      </c>
      <c r="J70" s="1">
        <v>0.005</v>
      </c>
      <c r="K70" s="1">
        <v>28</v>
      </c>
      <c r="L70" s="1">
        <v>2</v>
      </c>
      <c r="M70" s="1">
        <v>2.4</v>
      </c>
      <c r="N70" s="1">
        <v>200</v>
      </c>
      <c r="O70" s="1">
        <v>0.785</v>
      </c>
      <c r="P70" s="1">
        <v>150</v>
      </c>
      <c r="Q70" s="1">
        <v>20</v>
      </c>
      <c r="R70" s="1">
        <v>3</v>
      </c>
      <c r="S70" s="1">
        <v>103</v>
      </c>
    </row>
    <row r="71" spans="1:19">
      <c r="A71" s="1">
        <v>483</v>
      </c>
      <c r="B71" s="1">
        <v>1074</v>
      </c>
      <c r="C71" s="16">
        <v>0.169617894</v>
      </c>
      <c r="D71" s="1">
        <v>0</v>
      </c>
      <c r="E71" s="1">
        <v>322</v>
      </c>
      <c r="F71" s="1">
        <v>268</v>
      </c>
      <c r="G71" s="1">
        <v>10.7</v>
      </c>
      <c r="H71" s="1">
        <v>0</v>
      </c>
      <c r="I71" s="1">
        <v>182</v>
      </c>
      <c r="J71" s="1">
        <v>0.005</v>
      </c>
      <c r="K71" s="1">
        <v>28</v>
      </c>
      <c r="L71" s="1">
        <v>3</v>
      </c>
      <c r="M71" s="1">
        <v>2.4</v>
      </c>
      <c r="N71" s="1">
        <v>200</v>
      </c>
      <c r="O71" s="1">
        <v>0.785</v>
      </c>
      <c r="P71" s="1">
        <v>150</v>
      </c>
      <c r="Q71" s="1">
        <v>20</v>
      </c>
      <c r="R71" s="1">
        <v>3</v>
      </c>
      <c r="S71" s="1">
        <v>78</v>
      </c>
    </row>
    <row r="72" spans="1:19">
      <c r="A72" s="1">
        <v>483</v>
      </c>
      <c r="B72" s="1">
        <v>1074</v>
      </c>
      <c r="C72" s="16">
        <v>0.169617894</v>
      </c>
      <c r="D72" s="1">
        <v>0</v>
      </c>
      <c r="E72" s="1">
        <v>322</v>
      </c>
      <c r="F72" s="1">
        <v>268</v>
      </c>
      <c r="G72" s="1">
        <v>10.7</v>
      </c>
      <c r="H72" s="1">
        <v>0</v>
      </c>
      <c r="I72" s="1">
        <v>182</v>
      </c>
      <c r="J72" s="1">
        <v>0.0075</v>
      </c>
      <c r="K72" s="1">
        <v>28</v>
      </c>
      <c r="L72" s="1">
        <v>1</v>
      </c>
      <c r="M72" s="1">
        <v>2.4</v>
      </c>
      <c r="N72" s="1">
        <v>200</v>
      </c>
      <c r="O72" s="1">
        <v>0.785</v>
      </c>
      <c r="P72" s="1">
        <v>150</v>
      </c>
      <c r="Q72" s="1">
        <v>20</v>
      </c>
      <c r="R72" s="1">
        <v>3</v>
      </c>
      <c r="S72" s="1">
        <v>95</v>
      </c>
    </row>
    <row r="73" spans="1:19">
      <c r="A73" s="1">
        <v>483</v>
      </c>
      <c r="B73" s="1">
        <v>1074</v>
      </c>
      <c r="C73" s="16">
        <v>0.169617894</v>
      </c>
      <c r="D73" s="1">
        <v>0</v>
      </c>
      <c r="E73" s="1">
        <v>322</v>
      </c>
      <c r="F73" s="1">
        <v>268</v>
      </c>
      <c r="G73" s="1">
        <v>10.7</v>
      </c>
      <c r="H73" s="1">
        <v>0</v>
      </c>
      <c r="I73" s="1">
        <v>182</v>
      </c>
      <c r="J73" s="1">
        <v>0.0075</v>
      </c>
      <c r="K73" s="1">
        <v>28</v>
      </c>
      <c r="L73" s="1">
        <v>2</v>
      </c>
      <c r="M73" s="1">
        <v>2.4</v>
      </c>
      <c r="N73" s="1">
        <v>200</v>
      </c>
      <c r="O73" s="1">
        <v>0.785</v>
      </c>
      <c r="P73" s="1">
        <v>150</v>
      </c>
      <c r="Q73" s="1">
        <v>20</v>
      </c>
      <c r="R73" s="1">
        <v>3</v>
      </c>
      <c r="S73" s="1">
        <v>98</v>
      </c>
    </row>
    <row r="74" spans="1:19">
      <c r="A74" s="1">
        <v>483</v>
      </c>
      <c r="B74" s="1">
        <v>1074</v>
      </c>
      <c r="C74" s="16">
        <v>0.169617894</v>
      </c>
      <c r="D74" s="1">
        <v>0</v>
      </c>
      <c r="E74" s="1">
        <v>322</v>
      </c>
      <c r="F74" s="1">
        <v>268</v>
      </c>
      <c r="G74" s="1">
        <v>10.7</v>
      </c>
      <c r="H74" s="1">
        <v>0</v>
      </c>
      <c r="I74" s="1">
        <v>182</v>
      </c>
      <c r="J74" s="1">
        <v>0.0075</v>
      </c>
      <c r="K74" s="1">
        <v>28</v>
      </c>
      <c r="L74" s="1">
        <v>3</v>
      </c>
      <c r="M74" s="1">
        <v>2.4</v>
      </c>
      <c r="N74" s="1">
        <v>200</v>
      </c>
      <c r="O74" s="1">
        <v>0.785</v>
      </c>
      <c r="P74" s="1">
        <v>150</v>
      </c>
      <c r="Q74" s="1">
        <v>20</v>
      </c>
      <c r="R74" s="1">
        <v>3</v>
      </c>
      <c r="S74" s="1">
        <v>82</v>
      </c>
    </row>
    <row r="75" spans="1:19">
      <c r="A75" s="1">
        <v>483</v>
      </c>
      <c r="B75" s="1">
        <v>1074</v>
      </c>
      <c r="C75" s="16">
        <v>0.169617894</v>
      </c>
      <c r="D75" s="1">
        <v>0</v>
      </c>
      <c r="E75" s="1">
        <v>322</v>
      </c>
      <c r="F75" s="1">
        <v>268</v>
      </c>
      <c r="G75" s="1">
        <v>10.7</v>
      </c>
      <c r="H75" s="1">
        <v>0</v>
      </c>
      <c r="I75" s="1">
        <v>182</v>
      </c>
      <c r="J75" s="1">
        <v>0.0075</v>
      </c>
      <c r="K75" s="1">
        <v>28</v>
      </c>
      <c r="L75" s="1">
        <v>1</v>
      </c>
      <c r="M75" s="1">
        <v>2.4</v>
      </c>
      <c r="N75" s="1">
        <v>200</v>
      </c>
      <c r="O75" s="1">
        <v>0.785</v>
      </c>
      <c r="P75" s="1">
        <v>150</v>
      </c>
      <c r="Q75" s="1">
        <v>20</v>
      </c>
      <c r="R75" s="1">
        <v>3</v>
      </c>
      <c r="S75" s="1">
        <v>99</v>
      </c>
    </row>
    <row r="76" spans="1:19">
      <c r="A76" s="1">
        <v>483</v>
      </c>
      <c r="B76" s="1">
        <v>1074</v>
      </c>
      <c r="C76" s="16">
        <v>0.169617894</v>
      </c>
      <c r="D76" s="1">
        <v>0</v>
      </c>
      <c r="E76" s="1">
        <v>322</v>
      </c>
      <c r="F76" s="1">
        <v>268</v>
      </c>
      <c r="G76" s="1">
        <v>10.7</v>
      </c>
      <c r="H76" s="1">
        <v>0</v>
      </c>
      <c r="I76" s="1">
        <v>182</v>
      </c>
      <c r="J76" s="1">
        <v>0.0075</v>
      </c>
      <c r="K76" s="1">
        <v>28</v>
      </c>
      <c r="L76" s="1">
        <v>2</v>
      </c>
      <c r="M76" s="1">
        <v>2.4</v>
      </c>
      <c r="N76" s="1">
        <v>200</v>
      </c>
      <c r="O76" s="1">
        <v>0.785</v>
      </c>
      <c r="P76" s="1">
        <v>150</v>
      </c>
      <c r="Q76" s="1">
        <v>20</v>
      </c>
      <c r="R76" s="1">
        <v>3</v>
      </c>
      <c r="S76" s="1">
        <v>99</v>
      </c>
    </row>
    <row r="77" spans="1:19">
      <c r="A77" s="1">
        <v>483</v>
      </c>
      <c r="B77" s="1">
        <v>1074</v>
      </c>
      <c r="C77" s="16">
        <v>0.169617894</v>
      </c>
      <c r="D77" s="1">
        <v>0</v>
      </c>
      <c r="E77" s="1">
        <v>322</v>
      </c>
      <c r="F77" s="1">
        <v>268</v>
      </c>
      <c r="G77" s="1">
        <v>10.7</v>
      </c>
      <c r="H77" s="1">
        <v>0</v>
      </c>
      <c r="I77" s="1">
        <v>182</v>
      </c>
      <c r="J77" s="1">
        <v>0.0075</v>
      </c>
      <c r="K77" s="1">
        <v>28</v>
      </c>
      <c r="L77" s="1">
        <v>3</v>
      </c>
      <c r="M77" s="1">
        <v>2.4</v>
      </c>
      <c r="N77" s="1">
        <v>200</v>
      </c>
      <c r="O77" s="1">
        <v>0.785</v>
      </c>
      <c r="P77" s="1">
        <v>150</v>
      </c>
      <c r="Q77" s="1">
        <v>20</v>
      </c>
      <c r="R77" s="1">
        <v>3</v>
      </c>
      <c r="S77" s="1">
        <v>85</v>
      </c>
    </row>
    <row r="78" spans="1:19">
      <c r="A78" s="1">
        <v>483</v>
      </c>
      <c r="B78" s="1">
        <v>1074</v>
      </c>
      <c r="C78" s="16">
        <v>0.169617894</v>
      </c>
      <c r="D78" s="1">
        <v>0</v>
      </c>
      <c r="E78" s="1">
        <v>322</v>
      </c>
      <c r="F78" s="1">
        <v>268</v>
      </c>
      <c r="G78" s="1">
        <v>10.7</v>
      </c>
      <c r="H78" s="1">
        <v>0</v>
      </c>
      <c r="I78" s="1">
        <v>182</v>
      </c>
      <c r="J78" s="1">
        <v>0.0075</v>
      </c>
      <c r="K78" s="1">
        <v>28</v>
      </c>
      <c r="L78" s="1">
        <v>1</v>
      </c>
      <c r="M78" s="1">
        <v>2.4</v>
      </c>
      <c r="N78" s="1">
        <v>200</v>
      </c>
      <c r="O78" s="1">
        <v>0.785</v>
      </c>
      <c r="P78" s="1">
        <v>150</v>
      </c>
      <c r="Q78" s="1">
        <v>20</v>
      </c>
      <c r="R78" s="1">
        <v>3</v>
      </c>
      <c r="S78" s="1">
        <v>95</v>
      </c>
    </row>
    <row r="79" spans="1:19">
      <c r="A79" s="1">
        <v>483</v>
      </c>
      <c r="B79" s="1">
        <v>1074</v>
      </c>
      <c r="C79" s="16">
        <v>0.169617894</v>
      </c>
      <c r="D79" s="1">
        <v>0</v>
      </c>
      <c r="E79" s="1">
        <v>322</v>
      </c>
      <c r="F79" s="1">
        <v>268</v>
      </c>
      <c r="G79" s="1">
        <v>10.7</v>
      </c>
      <c r="H79" s="1">
        <v>0</v>
      </c>
      <c r="I79" s="1">
        <v>182</v>
      </c>
      <c r="J79" s="1">
        <v>0.0075</v>
      </c>
      <c r="K79" s="1">
        <v>28</v>
      </c>
      <c r="L79" s="1">
        <v>2</v>
      </c>
      <c r="M79" s="1">
        <v>2.4</v>
      </c>
      <c r="N79" s="1">
        <v>200</v>
      </c>
      <c r="O79" s="1">
        <v>0.785</v>
      </c>
      <c r="P79" s="1">
        <v>150</v>
      </c>
      <c r="Q79" s="1">
        <v>20</v>
      </c>
      <c r="R79" s="1">
        <v>3</v>
      </c>
      <c r="S79" s="1">
        <v>100</v>
      </c>
    </row>
    <row r="80" spans="1:19">
      <c r="A80" s="1">
        <v>483</v>
      </c>
      <c r="B80" s="1">
        <v>1074</v>
      </c>
      <c r="C80" s="16">
        <v>0.169617894</v>
      </c>
      <c r="D80" s="1">
        <v>0</v>
      </c>
      <c r="E80" s="1">
        <v>322</v>
      </c>
      <c r="F80" s="1">
        <v>268</v>
      </c>
      <c r="G80" s="1">
        <v>10.7</v>
      </c>
      <c r="H80" s="1">
        <v>0</v>
      </c>
      <c r="I80" s="1">
        <v>182</v>
      </c>
      <c r="J80" s="1">
        <v>0.0075</v>
      </c>
      <c r="K80" s="1">
        <v>28</v>
      </c>
      <c r="L80" s="1">
        <v>3</v>
      </c>
      <c r="M80" s="1">
        <v>2.4</v>
      </c>
      <c r="N80" s="1">
        <v>200</v>
      </c>
      <c r="O80" s="1">
        <v>0.785</v>
      </c>
      <c r="P80" s="1">
        <v>150</v>
      </c>
      <c r="Q80" s="1">
        <v>20</v>
      </c>
      <c r="R80" s="1">
        <v>3</v>
      </c>
      <c r="S80" s="1">
        <v>83</v>
      </c>
    </row>
    <row r="81" spans="1:19">
      <c r="A81" s="1">
        <v>483</v>
      </c>
      <c r="B81" s="1">
        <v>1074</v>
      </c>
      <c r="C81" s="16">
        <v>0.169617894</v>
      </c>
      <c r="D81" s="1">
        <v>0</v>
      </c>
      <c r="E81" s="1">
        <v>322</v>
      </c>
      <c r="F81" s="1">
        <v>268</v>
      </c>
      <c r="G81" s="1">
        <v>10.7</v>
      </c>
      <c r="H81" s="1">
        <v>0</v>
      </c>
      <c r="I81" s="1">
        <v>182</v>
      </c>
      <c r="J81" s="1">
        <v>0.01</v>
      </c>
      <c r="K81" s="1">
        <v>28</v>
      </c>
      <c r="L81" s="1">
        <v>1</v>
      </c>
      <c r="M81" s="1">
        <v>2.4</v>
      </c>
      <c r="N81" s="1">
        <v>200</v>
      </c>
      <c r="O81" s="1">
        <v>0.785</v>
      </c>
      <c r="P81" s="1">
        <v>150</v>
      </c>
      <c r="Q81" s="1">
        <v>20</v>
      </c>
      <c r="R81" s="1">
        <v>3</v>
      </c>
      <c r="S81" s="1">
        <v>85</v>
      </c>
    </row>
    <row r="82" spans="1:19">
      <c r="A82" s="1">
        <v>483</v>
      </c>
      <c r="B82" s="1">
        <v>1074</v>
      </c>
      <c r="C82" s="16">
        <v>0.169617894</v>
      </c>
      <c r="D82" s="1">
        <v>0</v>
      </c>
      <c r="E82" s="1">
        <v>322</v>
      </c>
      <c r="F82" s="1">
        <v>268</v>
      </c>
      <c r="G82" s="1">
        <v>10.7</v>
      </c>
      <c r="H82" s="1">
        <v>0</v>
      </c>
      <c r="I82" s="1">
        <v>182</v>
      </c>
      <c r="J82" s="1">
        <v>0.01</v>
      </c>
      <c r="K82" s="1">
        <v>28</v>
      </c>
      <c r="L82" s="1">
        <v>2</v>
      </c>
      <c r="M82" s="1">
        <v>2.4</v>
      </c>
      <c r="N82" s="1">
        <v>200</v>
      </c>
      <c r="O82" s="1">
        <v>0.785</v>
      </c>
      <c r="P82" s="1">
        <v>150</v>
      </c>
      <c r="Q82" s="1">
        <v>20</v>
      </c>
      <c r="R82" s="1">
        <v>3</v>
      </c>
      <c r="S82" s="1">
        <v>102</v>
      </c>
    </row>
    <row r="83" spans="1:19">
      <c r="A83" s="1">
        <v>483</v>
      </c>
      <c r="B83" s="1">
        <v>1074</v>
      </c>
      <c r="C83" s="16">
        <v>0.169617894</v>
      </c>
      <c r="D83" s="1">
        <v>0</v>
      </c>
      <c r="E83" s="1">
        <v>322</v>
      </c>
      <c r="F83" s="1">
        <v>268</v>
      </c>
      <c r="G83" s="1">
        <v>10.7</v>
      </c>
      <c r="H83" s="1">
        <v>0</v>
      </c>
      <c r="I83" s="1">
        <v>182</v>
      </c>
      <c r="J83" s="1">
        <v>0.01</v>
      </c>
      <c r="K83" s="1">
        <v>28</v>
      </c>
      <c r="L83" s="1">
        <v>3</v>
      </c>
      <c r="M83" s="1">
        <v>2.4</v>
      </c>
      <c r="N83" s="1">
        <v>200</v>
      </c>
      <c r="O83" s="1">
        <v>0.785</v>
      </c>
      <c r="P83" s="1">
        <v>150</v>
      </c>
      <c r="Q83" s="1">
        <v>20</v>
      </c>
      <c r="R83" s="1">
        <v>3</v>
      </c>
      <c r="S83" s="1">
        <v>78</v>
      </c>
    </row>
    <row r="84" spans="1:19">
      <c r="A84" s="1">
        <v>483</v>
      </c>
      <c r="B84" s="1">
        <v>1074</v>
      </c>
      <c r="C84" s="16">
        <v>0.169617894</v>
      </c>
      <c r="D84" s="1">
        <v>0</v>
      </c>
      <c r="E84" s="1">
        <v>322</v>
      </c>
      <c r="F84" s="1">
        <v>268</v>
      </c>
      <c r="G84" s="1">
        <v>10.7</v>
      </c>
      <c r="H84" s="1">
        <v>0</v>
      </c>
      <c r="I84" s="1">
        <v>182</v>
      </c>
      <c r="J84" s="1">
        <v>0.01</v>
      </c>
      <c r="K84" s="1">
        <v>28</v>
      </c>
      <c r="L84" s="1">
        <v>1</v>
      </c>
      <c r="M84" s="1">
        <v>2.4</v>
      </c>
      <c r="N84" s="1">
        <v>200</v>
      </c>
      <c r="O84" s="1">
        <v>0.785</v>
      </c>
      <c r="P84" s="1">
        <v>150</v>
      </c>
      <c r="Q84" s="1">
        <v>20</v>
      </c>
      <c r="R84" s="1">
        <v>3</v>
      </c>
      <c r="S84" s="1">
        <v>87</v>
      </c>
    </row>
    <row r="85" spans="1:19">
      <c r="A85" s="1">
        <v>483</v>
      </c>
      <c r="B85" s="1">
        <v>1074</v>
      </c>
      <c r="C85" s="16">
        <v>0.169617894</v>
      </c>
      <c r="D85" s="1">
        <v>0</v>
      </c>
      <c r="E85" s="1">
        <v>322</v>
      </c>
      <c r="F85" s="1">
        <v>268</v>
      </c>
      <c r="G85" s="1">
        <v>10.7</v>
      </c>
      <c r="H85" s="1">
        <v>0</v>
      </c>
      <c r="I85" s="1">
        <v>182</v>
      </c>
      <c r="J85" s="1">
        <v>0.01</v>
      </c>
      <c r="K85" s="1">
        <v>28</v>
      </c>
      <c r="L85" s="1">
        <v>2</v>
      </c>
      <c r="M85" s="1">
        <v>2.4</v>
      </c>
      <c r="N85" s="1">
        <v>200</v>
      </c>
      <c r="O85" s="1">
        <v>0.785</v>
      </c>
      <c r="P85" s="1">
        <v>150</v>
      </c>
      <c r="Q85" s="1">
        <v>20</v>
      </c>
      <c r="R85" s="1">
        <v>3</v>
      </c>
      <c r="S85" s="1">
        <v>104</v>
      </c>
    </row>
    <row r="86" spans="1:19">
      <c r="A86" s="1">
        <v>483</v>
      </c>
      <c r="B86" s="1">
        <v>1074</v>
      </c>
      <c r="C86" s="16">
        <v>0.169617894</v>
      </c>
      <c r="D86" s="1">
        <v>0</v>
      </c>
      <c r="E86" s="1">
        <v>322</v>
      </c>
      <c r="F86" s="1">
        <v>268</v>
      </c>
      <c r="G86" s="1">
        <v>10.7</v>
      </c>
      <c r="H86" s="1">
        <v>0</v>
      </c>
      <c r="I86" s="1">
        <v>182</v>
      </c>
      <c r="J86" s="1">
        <v>0.01</v>
      </c>
      <c r="K86" s="1">
        <v>28</v>
      </c>
      <c r="L86" s="1">
        <v>3</v>
      </c>
      <c r="M86" s="1">
        <v>2.4</v>
      </c>
      <c r="N86" s="1">
        <v>200</v>
      </c>
      <c r="O86" s="1">
        <v>0.785</v>
      </c>
      <c r="P86" s="1">
        <v>150</v>
      </c>
      <c r="Q86" s="1">
        <v>20</v>
      </c>
      <c r="R86" s="1">
        <v>3</v>
      </c>
      <c r="S86" s="1">
        <v>85</v>
      </c>
    </row>
    <row r="87" spans="1:19">
      <c r="A87" s="1">
        <v>483</v>
      </c>
      <c r="B87" s="1">
        <v>1074</v>
      </c>
      <c r="C87" s="16">
        <v>0.169617894</v>
      </c>
      <c r="D87" s="1">
        <v>0</v>
      </c>
      <c r="E87" s="1">
        <v>322</v>
      </c>
      <c r="F87" s="1">
        <v>268</v>
      </c>
      <c r="G87" s="1">
        <v>10.7</v>
      </c>
      <c r="H87" s="1">
        <v>0</v>
      </c>
      <c r="I87" s="1">
        <v>182</v>
      </c>
      <c r="J87" s="1">
        <v>0.01</v>
      </c>
      <c r="K87" s="1">
        <v>28</v>
      </c>
      <c r="L87" s="1">
        <v>1</v>
      </c>
      <c r="M87" s="1">
        <v>2.4</v>
      </c>
      <c r="N87" s="1">
        <v>200</v>
      </c>
      <c r="O87" s="1">
        <v>0.785</v>
      </c>
      <c r="P87" s="1">
        <v>150</v>
      </c>
      <c r="Q87" s="1">
        <v>20</v>
      </c>
      <c r="R87" s="1">
        <v>3</v>
      </c>
      <c r="S87" s="1">
        <v>83</v>
      </c>
    </row>
    <row r="88" spans="1:19">
      <c r="A88" s="1">
        <v>483</v>
      </c>
      <c r="B88" s="1">
        <v>1074</v>
      </c>
      <c r="C88" s="16">
        <v>0.169617894</v>
      </c>
      <c r="D88" s="1">
        <v>0</v>
      </c>
      <c r="E88" s="1">
        <v>322</v>
      </c>
      <c r="F88" s="1">
        <v>268</v>
      </c>
      <c r="G88" s="1">
        <v>10.7</v>
      </c>
      <c r="H88" s="1">
        <v>0</v>
      </c>
      <c r="I88" s="1">
        <v>182</v>
      </c>
      <c r="J88" s="1">
        <v>0.01</v>
      </c>
      <c r="K88" s="1">
        <v>28</v>
      </c>
      <c r="L88" s="1">
        <v>2</v>
      </c>
      <c r="M88" s="1">
        <v>2.4</v>
      </c>
      <c r="N88" s="1">
        <v>200</v>
      </c>
      <c r="O88" s="1">
        <v>0.785</v>
      </c>
      <c r="P88" s="1">
        <v>150</v>
      </c>
      <c r="Q88" s="1">
        <v>20</v>
      </c>
      <c r="R88" s="1">
        <v>3</v>
      </c>
      <c r="S88" s="1">
        <v>100</v>
      </c>
    </row>
    <row r="89" spans="1:19">
      <c r="A89" s="1">
        <v>483</v>
      </c>
      <c r="B89" s="1">
        <v>1074</v>
      </c>
      <c r="C89" s="16">
        <v>0.169617894</v>
      </c>
      <c r="D89" s="1">
        <v>0</v>
      </c>
      <c r="E89" s="1">
        <v>322</v>
      </c>
      <c r="F89" s="1">
        <v>268</v>
      </c>
      <c r="G89" s="1">
        <v>10.7</v>
      </c>
      <c r="H89" s="1">
        <v>0</v>
      </c>
      <c r="I89" s="1">
        <v>182</v>
      </c>
      <c r="J89" s="1">
        <v>0.01</v>
      </c>
      <c r="K89" s="1">
        <v>28</v>
      </c>
      <c r="L89" s="1">
        <v>3</v>
      </c>
      <c r="M89" s="1">
        <v>2.4</v>
      </c>
      <c r="N89" s="1">
        <v>200</v>
      </c>
      <c r="O89" s="1">
        <v>0.785</v>
      </c>
      <c r="P89" s="1">
        <v>150</v>
      </c>
      <c r="Q89" s="1">
        <v>20</v>
      </c>
      <c r="R89" s="1">
        <v>3</v>
      </c>
      <c r="S89" s="1">
        <v>76</v>
      </c>
    </row>
    <row r="90" spans="1:19">
      <c r="A90" s="1">
        <v>483</v>
      </c>
      <c r="B90" s="1">
        <v>1074</v>
      </c>
      <c r="C90" s="16">
        <v>0.169617894</v>
      </c>
      <c r="D90" s="1">
        <v>0</v>
      </c>
      <c r="E90" s="1">
        <v>322</v>
      </c>
      <c r="F90" s="1">
        <v>268</v>
      </c>
      <c r="G90" s="1">
        <v>10.7</v>
      </c>
      <c r="H90" s="1">
        <v>0</v>
      </c>
      <c r="I90" s="1">
        <v>182</v>
      </c>
      <c r="J90" s="1">
        <v>0</v>
      </c>
      <c r="K90" s="1">
        <v>28</v>
      </c>
      <c r="L90" s="1">
        <v>1</v>
      </c>
      <c r="M90" s="1">
        <v>2.4</v>
      </c>
      <c r="N90" s="1">
        <v>200</v>
      </c>
      <c r="O90" s="1">
        <v>0.785</v>
      </c>
      <c r="P90" s="1">
        <v>300</v>
      </c>
      <c r="Q90" s="1">
        <v>20</v>
      </c>
      <c r="R90" s="1">
        <v>6</v>
      </c>
      <c r="S90" s="1">
        <v>88</v>
      </c>
    </row>
    <row r="91" spans="1:19">
      <c r="A91" s="1">
        <v>483</v>
      </c>
      <c r="B91" s="1">
        <v>1074</v>
      </c>
      <c r="C91" s="16">
        <v>0.169617894</v>
      </c>
      <c r="D91" s="1">
        <v>0</v>
      </c>
      <c r="E91" s="1">
        <v>322</v>
      </c>
      <c r="F91" s="1">
        <v>268</v>
      </c>
      <c r="G91" s="1">
        <v>10.7</v>
      </c>
      <c r="H91" s="1">
        <v>0</v>
      </c>
      <c r="I91" s="1">
        <v>182</v>
      </c>
      <c r="J91" s="1">
        <v>0</v>
      </c>
      <c r="K91" s="1">
        <v>28</v>
      </c>
      <c r="L91" s="1">
        <v>2</v>
      </c>
      <c r="M91" s="1">
        <v>2.4</v>
      </c>
      <c r="N91" s="1">
        <v>200</v>
      </c>
      <c r="O91" s="1">
        <v>0.785</v>
      </c>
      <c r="P91" s="1">
        <v>300</v>
      </c>
      <c r="Q91" s="1">
        <v>20</v>
      </c>
      <c r="R91" s="1">
        <v>6</v>
      </c>
      <c r="S91" s="1">
        <v>90</v>
      </c>
    </row>
    <row r="92" spans="1:19">
      <c r="A92" s="1">
        <v>483</v>
      </c>
      <c r="B92" s="1">
        <v>1074</v>
      </c>
      <c r="C92" s="16">
        <v>0.169617894</v>
      </c>
      <c r="D92" s="1">
        <v>0</v>
      </c>
      <c r="E92" s="1">
        <v>322</v>
      </c>
      <c r="F92" s="1">
        <v>268</v>
      </c>
      <c r="G92" s="1">
        <v>10.7</v>
      </c>
      <c r="H92" s="1">
        <v>0</v>
      </c>
      <c r="I92" s="1">
        <v>182</v>
      </c>
      <c r="J92" s="1">
        <v>0</v>
      </c>
      <c r="K92" s="1">
        <v>28</v>
      </c>
      <c r="L92" s="1">
        <v>3</v>
      </c>
      <c r="M92" s="1">
        <v>2.4</v>
      </c>
      <c r="N92" s="1">
        <v>200</v>
      </c>
      <c r="O92" s="1">
        <v>0.785</v>
      </c>
      <c r="P92" s="1">
        <v>300</v>
      </c>
      <c r="Q92" s="1">
        <v>20</v>
      </c>
      <c r="R92" s="1">
        <v>6</v>
      </c>
      <c r="S92" s="1">
        <v>95</v>
      </c>
    </row>
    <row r="93" spans="1:19">
      <c r="A93" s="1">
        <v>483</v>
      </c>
      <c r="B93" s="1">
        <v>1074</v>
      </c>
      <c r="C93" s="16">
        <v>0.169617894</v>
      </c>
      <c r="D93" s="1">
        <v>0</v>
      </c>
      <c r="E93" s="1">
        <v>322</v>
      </c>
      <c r="F93" s="1">
        <v>268</v>
      </c>
      <c r="G93" s="1">
        <v>10.7</v>
      </c>
      <c r="H93" s="1">
        <v>0</v>
      </c>
      <c r="I93" s="1">
        <v>182</v>
      </c>
      <c r="J93" s="1">
        <v>0</v>
      </c>
      <c r="K93" s="1">
        <v>28</v>
      </c>
      <c r="L93" s="1">
        <v>1</v>
      </c>
      <c r="M93" s="1">
        <v>2.4</v>
      </c>
      <c r="N93" s="1">
        <v>200</v>
      </c>
      <c r="O93" s="1">
        <v>0.785</v>
      </c>
      <c r="P93" s="1">
        <v>300</v>
      </c>
      <c r="Q93" s="1">
        <v>20</v>
      </c>
      <c r="R93" s="1">
        <v>6</v>
      </c>
      <c r="S93" s="1">
        <v>91</v>
      </c>
    </row>
    <row r="94" spans="1:19">
      <c r="A94" s="1">
        <v>483</v>
      </c>
      <c r="B94" s="1">
        <v>1074</v>
      </c>
      <c r="C94" s="16">
        <v>0.169617894</v>
      </c>
      <c r="D94" s="1">
        <v>0</v>
      </c>
      <c r="E94" s="1">
        <v>322</v>
      </c>
      <c r="F94" s="1">
        <v>268</v>
      </c>
      <c r="G94" s="1">
        <v>10.7</v>
      </c>
      <c r="H94" s="1">
        <v>0</v>
      </c>
      <c r="I94" s="1">
        <v>182</v>
      </c>
      <c r="J94" s="1">
        <v>0</v>
      </c>
      <c r="K94" s="1">
        <v>28</v>
      </c>
      <c r="L94" s="1">
        <v>2</v>
      </c>
      <c r="M94" s="1">
        <v>2.4</v>
      </c>
      <c r="N94" s="1">
        <v>200</v>
      </c>
      <c r="O94" s="1">
        <v>0.785</v>
      </c>
      <c r="P94" s="1">
        <v>300</v>
      </c>
      <c r="Q94" s="1">
        <v>20</v>
      </c>
      <c r="R94" s="1">
        <v>6</v>
      </c>
      <c r="S94" s="1">
        <v>91</v>
      </c>
    </row>
    <row r="95" spans="1:19">
      <c r="A95" s="1">
        <v>483</v>
      </c>
      <c r="B95" s="1">
        <v>1074</v>
      </c>
      <c r="C95" s="16">
        <v>0.169617894</v>
      </c>
      <c r="D95" s="1">
        <v>0</v>
      </c>
      <c r="E95" s="1">
        <v>322</v>
      </c>
      <c r="F95" s="1">
        <v>268</v>
      </c>
      <c r="G95" s="1">
        <v>10.7</v>
      </c>
      <c r="H95" s="1">
        <v>0</v>
      </c>
      <c r="I95" s="1">
        <v>182</v>
      </c>
      <c r="J95" s="1">
        <v>0</v>
      </c>
      <c r="K95" s="1">
        <v>28</v>
      </c>
      <c r="L95" s="1">
        <v>3</v>
      </c>
      <c r="M95" s="1">
        <v>2.4</v>
      </c>
      <c r="N95" s="1">
        <v>200</v>
      </c>
      <c r="O95" s="1">
        <v>0.785</v>
      </c>
      <c r="P95" s="1">
        <v>300</v>
      </c>
      <c r="Q95" s="1">
        <v>20</v>
      </c>
      <c r="R95" s="1">
        <v>6</v>
      </c>
      <c r="S95" s="1">
        <v>96</v>
      </c>
    </row>
    <row r="96" spans="1:19">
      <c r="A96" s="1">
        <v>483</v>
      </c>
      <c r="B96" s="1">
        <v>1074</v>
      </c>
      <c r="C96" s="16">
        <v>0.169617894</v>
      </c>
      <c r="D96" s="1">
        <v>0</v>
      </c>
      <c r="E96" s="1">
        <v>322</v>
      </c>
      <c r="F96" s="1">
        <v>268</v>
      </c>
      <c r="G96" s="1">
        <v>10.7</v>
      </c>
      <c r="H96" s="1">
        <v>0</v>
      </c>
      <c r="I96" s="1">
        <v>182</v>
      </c>
      <c r="J96" s="1">
        <v>0</v>
      </c>
      <c r="K96" s="1">
        <v>28</v>
      </c>
      <c r="L96" s="1">
        <v>1</v>
      </c>
      <c r="M96" s="1">
        <v>2.4</v>
      </c>
      <c r="N96" s="1">
        <v>200</v>
      </c>
      <c r="O96" s="1">
        <v>0.785</v>
      </c>
      <c r="P96" s="1">
        <v>300</v>
      </c>
      <c r="Q96" s="1">
        <v>20</v>
      </c>
      <c r="R96" s="1">
        <v>6</v>
      </c>
      <c r="S96" s="1">
        <v>85</v>
      </c>
    </row>
    <row r="97" spans="1:19">
      <c r="A97" s="1">
        <v>483</v>
      </c>
      <c r="B97" s="1">
        <v>1074</v>
      </c>
      <c r="C97" s="16">
        <v>0.169617894</v>
      </c>
      <c r="D97" s="1">
        <v>0</v>
      </c>
      <c r="E97" s="1">
        <v>322</v>
      </c>
      <c r="F97" s="1">
        <v>268</v>
      </c>
      <c r="G97" s="1">
        <v>10.7</v>
      </c>
      <c r="H97" s="1">
        <v>0</v>
      </c>
      <c r="I97" s="1">
        <v>182</v>
      </c>
      <c r="J97" s="1">
        <v>0</v>
      </c>
      <c r="K97" s="1">
        <v>28</v>
      </c>
      <c r="L97" s="1">
        <v>2</v>
      </c>
      <c r="M97" s="1">
        <v>2.4</v>
      </c>
      <c r="N97" s="1">
        <v>200</v>
      </c>
      <c r="O97" s="1">
        <v>0.785</v>
      </c>
      <c r="P97" s="1">
        <v>300</v>
      </c>
      <c r="Q97" s="1">
        <v>20</v>
      </c>
      <c r="R97" s="1">
        <v>6</v>
      </c>
      <c r="S97" s="1">
        <v>89</v>
      </c>
    </row>
    <row r="98" spans="1:19">
      <c r="A98" s="1">
        <v>483</v>
      </c>
      <c r="B98" s="1">
        <v>1074</v>
      </c>
      <c r="C98" s="16">
        <v>0.169617894</v>
      </c>
      <c r="D98" s="1">
        <v>0</v>
      </c>
      <c r="E98" s="1">
        <v>322</v>
      </c>
      <c r="F98" s="1">
        <v>268</v>
      </c>
      <c r="G98" s="1">
        <v>10.7</v>
      </c>
      <c r="H98" s="1">
        <v>0</v>
      </c>
      <c r="I98" s="1">
        <v>182</v>
      </c>
      <c r="J98" s="1">
        <v>0</v>
      </c>
      <c r="K98" s="1">
        <v>28</v>
      </c>
      <c r="L98" s="1">
        <v>3</v>
      </c>
      <c r="M98" s="1">
        <v>2.4</v>
      </c>
      <c r="N98" s="1">
        <v>200</v>
      </c>
      <c r="O98" s="1">
        <v>0.785</v>
      </c>
      <c r="P98" s="1">
        <v>300</v>
      </c>
      <c r="Q98" s="1">
        <v>20</v>
      </c>
      <c r="R98" s="1">
        <v>6</v>
      </c>
      <c r="S98" s="1">
        <v>94</v>
      </c>
    </row>
    <row r="99" spans="1:19">
      <c r="A99" s="1">
        <v>483</v>
      </c>
      <c r="B99" s="1">
        <v>1074</v>
      </c>
      <c r="C99" s="16">
        <v>0.169617894</v>
      </c>
      <c r="D99" s="1">
        <v>0</v>
      </c>
      <c r="E99" s="1">
        <v>322</v>
      </c>
      <c r="F99" s="1">
        <v>268</v>
      </c>
      <c r="G99" s="1">
        <v>10.7</v>
      </c>
      <c r="H99" s="1">
        <v>0</v>
      </c>
      <c r="I99" s="1">
        <v>182</v>
      </c>
      <c r="J99" s="1">
        <v>0.0025</v>
      </c>
      <c r="K99" s="1">
        <v>28</v>
      </c>
      <c r="L99" s="1">
        <v>1</v>
      </c>
      <c r="M99" s="1">
        <v>2.4</v>
      </c>
      <c r="N99" s="1">
        <v>200</v>
      </c>
      <c r="O99" s="1">
        <v>0.785</v>
      </c>
      <c r="P99" s="1">
        <v>300</v>
      </c>
      <c r="Q99" s="1">
        <v>20</v>
      </c>
      <c r="R99" s="1">
        <v>6</v>
      </c>
      <c r="S99" s="1">
        <v>105</v>
      </c>
    </row>
    <row r="100" spans="1:19">
      <c r="A100" s="1">
        <v>483</v>
      </c>
      <c r="B100" s="1">
        <v>1074</v>
      </c>
      <c r="C100" s="16">
        <v>0.169617894</v>
      </c>
      <c r="D100" s="1">
        <v>0</v>
      </c>
      <c r="E100" s="1">
        <v>322</v>
      </c>
      <c r="F100" s="1">
        <v>268</v>
      </c>
      <c r="G100" s="1">
        <v>10.7</v>
      </c>
      <c r="H100" s="1">
        <v>0</v>
      </c>
      <c r="I100" s="1">
        <v>182</v>
      </c>
      <c r="J100" s="1">
        <v>0.0025</v>
      </c>
      <c r="K100" s="1">
        <v>28</v>
      </c>
      <c r="L100" s="1">
        <v>2</v>
      </c>
      <c r="M100" s="1">
        <v>2.4</v>
      </c>
      <c r="N100" s="1">
        <v>200</v>
      </c>
      <c r="O100" s="1">
        <v>0.785</v>
      </c>
      <c r="P100" s="1">
        <v>300</v>
      </c>
      <c r="Q100" s="1">
        <v>20</v>
      </c>
      <c r="R100" s="1">
        <v>6</v>
      </c>
      <c r="S100" s="1">
        <v>85</v>
      </c>
    </row>
    <row r="101" spans="1:19">
      <c r="A101" s="1">
        <v>483</v>
      </c>
      <c r="B101" s="1">
        <v>1074</v>
      </c>
      <c r="C101" s="16">
        <v>0.169617894</v>
      </c>
      <c r="D101" s="1">
        <v>0</v>
      </c>
      <c r="E101" s="1">
        <v>322</v>
      </c>
      <c r="F101" s="1">
        <v>268</v>
      </c>
      <c r="G101" s="1">
        <v>10.7</v>
      </c>
      <c r="H101" s="1">
        <v>0</v>
      </c>
      <c r="I101" s="1">
        <v>182</v>
      </c>
      <c r="J101" s="1">
        <v>0.0025</v>
      </c>
      <c r="K101" s="1">
        <v>28</v>
      </c>
      <c r="L101" s="1">
        <v>3</v>
      </c>
      <c r="M101" s="1">
        <v>2.4</v>
      </c>
      <c r="N101" s="1">
        <v>200</v>
      </c>
      <c r="O101" s="1">
        <v>0.785</v>
      </c>
      <c r="P101" s="1">
        <v>300</v>
      </c>
      <c r="Q101" s="1">
        <v>20</v>
      </c>
      <c r="R101" s="1">
        <v>6</v>
      </c>
      <c r="S101" s="1">
        <v>96</v>
      </c>
    </row>
    <row r="102" spans="1:19">
      <c r="A102" s="1">
        <v>483</v>
      </c>
      <c r="B102" s="1">
        <v>1074</v>
      </c>
      <c r="C102" s="16">
        <v>0.169617894</v>
      </c>
      <c r="D102" s="1">
        <v>0</v>
      </c>
      <c r="E102" s="1">
        <v>322</v>
      </c>
      <c r="F102" s="1">
        <v>268</v>
      </c>
      <c r="G102" s="1">
        <v>10.7</v>
      </c>
      <c r="H102" s="1">
        <v>0</v>
      </c>
      <c r="I102" s="1">
        <v>182</v>
      </c>
      <c r="J102" s="1">
        <v>0.0025</v>
      </c>
      <c r="K102" s="1">
        <v>28</v>
      </c>
      <c r="L102" s="1">
        <v>1</v>
      </c>
      <c r="M102" s="1">
        <v>2.4</v>
      </c>
      <c r="N102" s="1">
        <v>200</v>
      </c>
      <c r="O102" s="1">
        <v>0.785</v>
      </c>
      <c r="P102" s="1">
        <v>300</v>
      </c>
      <c r="Q102" s="1">
        <v>20</v>
      </c>
      <c r="R102" s="1">
        <v>6</v>
      </c>
      <c r="S102" s="1">
        <v>106</v>
      </c>
    </row>
    <row r="103" spans="1:19">
      <c r="A103" s="1">
        <v>483</v>
      </c>
      <c r="B103" s="1">
        <v>1074</v>
      </c>
      <c r="C103" s="16">
        <v>0.169617894</v>
      </c>
      <c r="D103" s="1">
        <v>0</v>
      </c>
      <c r="E103" s="1">
        <v>322</v>
      </c>
      <c r="F103" s="1">
        <v>268</v>
      </c>
      <c r="G103" s="1">
        <v>10.7</v>
      </c>
      <c r="H103" s="1">
        <v>0</v>
      </c>
      <c r="I103" s="1">
        <v>182</v>
      </c>
      <c r="J103" s="1">
        <v>0.0025</v>
      </c>
      <c r="K103" s="1">
        <v>28</v>
      </c>
      <c r="L103" s="1">
        <v>2</v>
      </c>
      <c r="M103" s="1">
        <v>2.4</v>
      </c>
      <c r="N103" s="1">
        <v>200</v>
      </c>
      <c r="O103" s="1">
        <v>0.785</v>
      </c>
      <c r="P103" s="1">
        <v>300</v>
      </c>
      <c r="Q103" s="1">
        <v>20</v>
      </c>
      <c r="R103" s="1">
        <v>6</v>
      </c>
      <c r="S103" s="1">
        <v>86.5</v>
      </c>
    </row>
    <row r="104" spans="1:19">
      <c r="A104" s="1">
        <v>483</v>
      </c>
      <c r="B104" s="1">
        <v>1074</v>
      </c>
      <c r="C104" s="16">
        <v>0.169617894</v>
      </c>
      <c r="D104" s="1">
        <v>0</v>
      </c>
      <c r="E104" s="1">
        <v>322</v>
      </c>
      <c r="F104" s="1">
        <v>268</v>
      </c>
      <c r="G104" s="1">
        <v>10.7</v>
      </c>
      <c r="H104" s="1">
        <v>0</v>
      </c>
      <c r="I104" s="1">
        <v>182</v>
      </c>
      <c r="J104" s="1">
        <v>0.0025</v>
      </c>
      <c r="K104" s="1">
        <v>28</v>
      </c>
      <c r="L104" s="1">
        <v>3</v>
      </c>
      <c r="M104" s="1">
        <v>2.4</v>
      </c>
      <c r="N104" s="1">
        <v>200</v>
      </c>
      <c r="O104" s="1">
        <v>0.785</v>
      </c>
      <c r="P104" s="1">
        <v>300</v>
      </c>
      <c r="Q104" s="1">
        <v>20</v>
      </c>
      <c r="R104" s="1">
        <v>6</v>
      </c>
      <c r="S104" s="1">
        <v>98</v>
      </c>
    </row>
    <row r="105" spans="1:19">
      <c r="A105" s="1">
        <v>483</v>
      </c>
      <c r="B105" s="1">
        <v>1074</v>
      </c>
      <c r="C105" s="16">
        <v>0.169617894</v>
      </c>
      <c r="D105" s="1">
        <v>0</v>
      </c>
      <c r="E105" s="1">
        <v>322</v>
      </c>
      <c r="F105" s="1">
        <v>268</v>
      </c>
      <c r="G105" s="1">
        <v>10.7</v>
      </c>
      <c r="H105" s="1">
        <v>0</v>
      </c>
      <c r="I105" s="1">
        <v>182</v>
      </c>
      <c r="J105" s="1">
        <v>0.0025</v>
      </c>
      <c r="K105" s="1">
        <v>28</v>
      </c>
      <c r="L105" s="1">
        <v>1</v>
      </c>
      <c r="M105" s="1">
        <v>2.4</v>
      </c>
      <c r="N105" s="1">
        <v>200</v>
      </c>
      <c r="O105" s="1">
        <v>0.785</v>
      </c>
      <c r="P105" s="1">
        <v>300</v>
      </c>
      <c r="Q105" s="1">
        <v>20</v>
      </c>
      <c r="R105" s="1">
        <v>6</v>
      </c>
      <c r="S105" s="1">
        <v>104.3</v>
      </c>
    </row>
    <row r="106" spans="1:19">
      <c r="A106" s="1">
        <v>483</v>
      </c>
      <c r="B106" s="1">
        <v>1074</v>
      </c>
      <c r="C106" s="16">
        <v>0.169617894</v>
      </c>
      <c r="D106" s="1">
        <v>0</v>
      </c>
      <c r="E106" s="1">
        <v>322</v>
      </c>
      <c r="F106" s="1">
        <v>268</v>
      </c>
      <c r="G106" s="1">
        <v>10.7</v>
      </c>
      <c r="H106" s="1">
        <v>0</v>
      </c>
      <c r="I106" s="1">
        <v>182</v>
      </c>
      <c r="J106" s="1">
        <v>0.0025</v>
      </c>
      <c r="K106" s="1">
        <v>28</v>
      </c>
      <c r="L106" s="1">
        <v>2</v>
      </c>
      <c r="M106" s="1">
        <v>2.4</v>
      </c>
      <c r="N106" s="1">
        <v>200</v>
      </c>
      <c r="O106" s="1">
        <v>0.785</v>
      </c>
      <c r="P106" s="1">
        <v>300</v>
      </c>
      <c r="Q106" s="1">
        <v>20</v>
      </c>
      <c r="R106" s="1">
        <v>6</v>
      </c>
      <c r="S106" s="1">
        <v>83.8</v>
      </c>
    </row>
    <row r="107" spans="1:19">
      <c r="A107" s="1">
        <v>483</v>
      </c>
      <c r="B107" s="1">
        <v>1074</v>
      </c>
      <c r="C107" s="16">
        <v>0.169617894</v>
      </c>
      <c r="D107" s="1">
        <v>0</v>
      </c>
      <c r="E107" s="1">
        <v>322</v>
      </c>
      <c r="F107" s="1">
        <v>268</v>
      </c>
      <c r="G107" s="1">
        <v>10.7</v>
      </c>
      <c r="H107" s="1">
        <v>0</v>
      </c>
      <c r="I107" s="1">
        <v>182</v>
      </c>
      <c r="J107" s="1">
        <v>0.0025</v>
      </c>
      <c r="K107" s="1">
        <v>28</v>
      </c>
      <c r="L107" s="1">
        <v>3</v>
      </c>
      <c r="M107" s="1">
        <v>2.4</v>
      </c>
      <c r="N107" s="1">
        <v>200</v>
      </c>
      <c r="O107" s="1">
        <v>0.785</v>
      </c>
      <c r="P107" s="1">
        <v>300</v>
      </c>
      <c r="Q107" s="1">
        <v>20</v>
      </c>
      <c r="R107" s="1">
        <v>6</v>
      </c>
      <c r="S107" s="1">
        <v>94</v>
      </c>
    </row>
    <row r="108" spans="1:19">
      <c r="A108" s="1">
        <v>483</v>
      </c>
      <c r="B108" s="1">
        <v>1074</v>
      </c>
      <c r="C108" s="16">
        <v>0.169617894</v>
      </c>
      <c r="D108" s="1">
        <v>0</v>
      </c>
      <c r="E108" s="1">
        <v>322</v>
      </c>
      <c r="F108" s="1">
        <v>268</v>
      </c>
      <c r="G108" s="1">
        <v>10.7</v>
      </c>
      <c r="H108" s="1">
        <v>0</v>
      </c>
      <c r="I108" s="1">
        <v>182</v>
      </c>
      <c r="J108" s="1">
        <v>0.005</v>
      </c>
      <c r="K108" s="1">
        <v>28</v>
      </c>
      <c r="L108" s="1">
        <v>1</v>
      </c>
      <c r="M108" s="1">
        <v>2.4</v>
      </c>
      <c r="N108" s="1">
        <v>200</v>
      </c>
      <c r="O108" s="1">
        <v>0.785</v>
      </c>
      <c r="P108" s="1">
        <v>300</v>
      </c>
      <c r="Q108" s="1">
        <v>20</v>
      </c>
      <c r="R108" s="1">
        <v>6</v>
      </c>
      <c r="S108" s="1">
        <v>88</v>
      </c>
    </row>
    <row r="109" spans="1:19">
      <c r="A109" s="1">
        <v>483</v>
      </c>
      <c r="B109" s="1">
        <v>1074</v>
      </c>
      <c r="C109" s="16">
        <v>0.169617894</v>
      </c>
      <c r="D109" s="1">
        <v>0</v>
      </c>
      <c r="E109" s="1">
        <v>322</v>
      </c>
      <c r="F109" s="1">
        <v>268</v>
      </c>
      <c r="G109" s="1">
        <v>10.7</v>
      </c>
      <c r="H109" s="1">
        <v>0</v>
      </c>
      <c r="I109" s="1">
        <v>182</v>
      </c>
      <c r="J109" s="1">
        <v>0.005</v>
      </c>
      <c r="K109" s="1">
        <v>28</v>
      </c>
      <c r="L109" s="1">
        <v>2</v>
      </c>
      <c r="M109" s="1">
        <v>2.4</v>
      </c>
      <c r="N109" s="1">
        <v>200</v>
      </c>
      <c r="O109" s="1">
        <v>0.785</v>
      </c>
      <c r="P109" s="1">
        <v>300</v>
      </c>
      <c r="Q109" s="1">
        <v>20</v>
      </c>
      <c r="R109" s="1">
        <v>6</v>
      </c>
      <c r="S109" s="1">
        <v>92</v>
      </c>
    </row>
    <row r="110" spans="1:19">
      <c r="A110" s="1">
        <v>483</v>
      </c>
      <c r="B110" s="1">
        <v>1074</v>
      </c>
      <c r="C110" s="16">
        <v>0.169617894</v>
      </c>
      <c r="D110" s="1">
        <v>0</v>
      </c>
      <c r="E110" s="1">
        <v>322</v>
      </c>
      <c r="F110" s="1">
        <v>268</v>
      </c>
      <c r="G110" s="1">
        <v>10.7</v>
      </c>
      <c r="H110" s="1">
        <v>0</v>
      </c>
      <c r="I110" s="1">
        <v>182</v>
      </c>
      <c r="J110" s="1">
        <v>0.005</v>
      </c>
      <c r="K110" s="1">
        <v>28</v>
      </c>
      <c r="L110" s="1">
        <v>3</v>
      </c>
      <c r="M110" s="1">
        <v>2.4</v>
      </c>
      <c r="N110" s="1">
        <v>200</v>
      </c>
      <c r="O110" s="1">
        <v>0.785</v>
      </c>
      <c r="P110" s="1">
        <v>300</v>
      </c>
      <c r="Q110" s="1">
        <v>20</v>
      </c>
      <c r="R110" s="1">
        <v>6</v>
      </c>
      <c r="S110" s="1">
        <v>107</v>
      </c>
    </row>
    <row r="111" spans="1:19">
      <c r="A111" s="1">
        <v>483</v>
      </c>
      <c r="B111" s="1">
        <v>1074</v>
      </c>
      <c r="C111" s="16">
        <v>0.169617894</v>
      </c>
      <c r="D111" s="1">
        <v>0</v>
      </c>
      <c r="E111" s="1">
        <v>322</v>
      </c>
      <c r="F111" s="1">
        <v>268</v>
      </c>
      <c r="G111" s="1">
        <v>10.7</v>
      </c>
      <c r="H111" s="1">
        <v>0</v>
      </c>
      <c r="I111" s="1">
        <v>182</v>
      </c>
      <c r="J111" s="1">
        <v>0.005</v>
      </c>
      <c r="K111" s="1">
        <v>28</v>
      </c>
      <c r="L111" s="1">
        <v>1</v>
      </c>
      <c r="M111" s="1">
        <v>2.4</v>
      </c>
      <c r="N111" s="1">
        <v>200</v>
      </c>
      <c r="O111" s="1">
        <v>0.785</v>
      </c>
      <c r="P111" s="1">
        <v>300</v>
      </c>
      <c r="Q111" s="1">
        <v>20</v>
      </c>
      <c r="R111" s="1">
        <v>6</v>
      </c>
      <c r="S111" s="1">
        <v>88.5</v>
      </c>
    </row>
    <row r="112" spans="1:19">
      <c r="A112" s="1">
        <v>483</v>
      </c>
      <c r="B112" s="1">
        <v>1074</v>
      </c>
      <c r="C112" s="16">
        <v>0.169617894</v>
      </c>
      <c r="D112" s="1">
        <v>0</v>
      </c>
      <c r="E112" s="1">
        <v>322</v>
      </c>
      <c r="F112" s="1">
        <v>268</v>
      </c>
      <c r="G112" s="1">
        <v>10.7</v>
      </c>
      <c r="H112" s="1">
        <v>0</v>
      </c>
      <c r="I112" s="1">
        <v>182</v>
      </c>
      <c r="J112" s="1">
        <v>0.005</v>
      </c>
      <c r="K112" s="1">
        <v>28</v>
      </c>
      <c r="L112" s="1">
        <v>2</v>
      </c>
      <c r="M112" s="1">
        <v>2.4</v>
      </c>
      <c r="N112" s="1">
        <v>200</v>
      </c>
      <c r="O112" s="1">
        <v>0.785</v>
      </c>
      <c r="P112" s="1">
        <v>300</v>
      </c>
      <c r="Q112" s="1">
        <v>20</v>
      </c>
      <c r="R112" s="1">
        <v>6</v>
      </c>
      <c r="S112" s="1">
        <v>93</v>
      </c>
    </row>
    <row r="113" spans="1:19">
      <c r="A113" s="1">
        <v>483</v>
      </c>
      <c r="B113" s="1">
        <v>1074</v>
      </c>
      <c r="C113" s="16">
        <v>0.169617894</v>
      </c>
      <c r="D113" s="1">
        <v>0</v>
      </c>
      <c r="E113" s="1">
        <v>322</v>
      </c>
      <c r="F113" s="1">
        <v>268</v>
      </c>
      <c r="G113" s="1">
        <v>10.7</v>
      </c>
      <c r="H113" s="1">
        <v>0</v>
      </c>
      <c r="I113" s="1">
        <v>182</v>
      </c>
      <c r="J113" s="1">
        <v>0.005</v>
      </c>
      <c r="K113" s="1">
        <v>28</v>
      </c>
      <c r="L113" s="1">
        <v>3</v>
      </c>
      <c r="M113" s="1">
        <v>2.4</v>
      </c>
      <c r="N113" s="1">
        <v>200</v>
      </c>
      <c r="O113" s="1">
        <v>0.785</v>
      </c>
      <c r="P113" s="1">
        <v>300</v>
      </c>
      <c r="Q113" s="1">
        <v>20</v>
      </c>
      <c r="R113" s="1">
        <v>6</v>
      </c>
      <c r="S113" s="1">
        <v>108.5</v>
      </c>
    </row>
    <row r="114" spans="1:19">
      <c r="A114" s="1">
        <v>483</v>
      </c>
      <c r="B114" s="1">
        <v>1074</v>
      </c>
      <c r="C114" s="16">
        <v>0.169617894</v>
      </c>
      <c r="D114" s="1">
        <v>0</v>
      </c>
      <c r="E114" s="1">
        <v>322</v>
      </c>
      <c r="F114" s="1">
        <v>268</v>
      </c>
      <c r="G114" s="1">
        <v>10.7</v>
      </c>
      <c r="H114" s="1">
        <v>0</v>
      </c>
      <c r="I114" s="1">
        <v>182</v>
      </c>
      <c r="J114" s="1">
        <v>0.005</v>
      </c>
      <c r="K114" s="1">
        <v>28</v>
      </c>
      <c r="L114" s="1">
        <v>1</v>
      </c>
      <c r="M114" s="1">
        <v>2.4</v>
      </c>
      <c r="N114" s="1">
        <v>200</v>
      </c>
      <c r="O114" s="1">
        <v>0.785</v>
      </c>
      <c r="P114" s="1">
        <v>300</v>
      </c>
      <c r="Q114" s="1">
        <v>20</v>
      </c>
      <c r="R114" s="1">
        <v>6</v>
      </c>
      <c r="S114" s="1">
        <v>87.5</v>
      </c>
    </row>
    <row r="115" spans="1:19">
      <c r="A115" s="1">
        <v>483</v>
      </c>
      <c r="B115" s="1">
        <v>1074</v>
      </c>
      <c r="C115" s="16">
        <v>0.169617894</v>
      </c>
      <c r="D115" s="1">
        <v>0</v>
      </c>
      <c r="E115" s="1">
        <v>322</v>
      </c>
      <c r="F115" s="1">
        <v>268</v>
      </c>
      <c r="G115" s="1">
        <v>10.7</v>
      </c>
      <c r="H115" s="1">
        <v>0</v>
      </c>
      <c r="I115" s="1">
        <v>182</v>
      </c>
      <c r="J115" s="1">
        <v>0.005</v>
      </c>
      <c r="K115" s="1">
        <v>28</v>
      </c>
      <c r="L115" s="1">
        <v>2</v>
      </c>
      <c r="M115" s="1">
        <v>2.4</v>
      </c>
      <c r="N115" s="1">
        <v>200</v>
      </c>
      <c r="O115" s="1">
        <v>0.785</v>
      </c>
      <c r="P115" s="1">
        <v>300</v>
      </c>
      <c r="Q115" s="1">
        <v>20</v>
      </c>
      <c r="R115" s="1">
        <v>6</v>
      </c>
      <c r="S115" s="1">
        <v>91.2</v>
      </c>
    </row>
    <row r="116" spans="1:19">
      <c r="A116" s="1">
        <v>483</v>
      </c>
      <c r="B116" s="1">
        <v>1074</v>
      </c>
      <c r="C116" s="16">
        <v>0.169617894</v>
      </c>
      <c r="D116" s="1">
        <v>0</v>
      </c>
      <c r="E116" s="1">
        <v>322</v>
      </c>
      <c r="F116" s="1">
        <v>268</v>
      </c>
      <c r="G116" s="1">
        <v>10.7</v>
      </c>
      <c r="H116" s="1">
        <v>0</v>
      </c>
      <c r="I116" s="1">
        <v>182</v>
      </c>
      <c r="J116" s="1">
        <v>0.005</v>
      </c>
      <c r="K116" s="1">
        <v>28</v>
      </c>
      <c r="L116" s="1">
        <v>3</v>
      </c>
      <c r="M116" s="1">
        <v>2.4</v>
      </c>
      <c r="N116" s="1">
        <v>200</v>
      </c>
      <c r="O116" s="1">
        <v>0.785</v>
      </c>
      <c r="P116" s="1">
        <v>300</v>
      </c>
      <c r="Q116" s="1">
        <v>20</v>
      </c>
      <c r="R116" s="1">
        <v>6</v>
      </c>
      <c r="S116" s="1">
        <v>105.5</v>
      </c>
    </row>
    <row r="117" spans="1:19">
      <c r="A117" s="1">
        <v>483</v>
      </c>
      <c r="B117" s="1">
        <v>1074</v>
      </c>
      <c r="C117" s="16">
        <v>0.169617894</v>
      </c>
      <c r="D117" s="1">
        <v>0</v>
      </c>
      <c r="E117" s="1">
        <v>322</v>
      </c>
      <c r="F117" s="1">
        <v>268</v>
      </c>
      <c r="G117" s="1">
        <v>10.7</v>
      </c>
      <c r="H117" s="1">
        <v>0</v>
      </c>
      <c r="I117" s="1">
        <v>182</v>
      </c>
      <c r="J117" s="1">
        <v>0.0075</v>
      </c>
      <c r="K117" s="1">
        <v>28</v>
      </c>
      <c r="L117" s="1">
        <v>1</v>
      </c>
      <c r="M117" s="1">
        <v>2.4</v>
      </c>
      <c r="N117" s="1">
        <v>200</v>
      </c>
      <c r="O117" s="1">
        <v>0.785</v>
      </c>
      <c r="P117" s="1">
        <v>300</v>
      </c>
      <c r="Q117" s="1">
        <v>20</v>
      </c>
      <c r="R117" s="1">
        <v>6</v>
      </c>
      <c r="S117" s="1">
        <v>108</v>
      </c>
    </row>
    <row r="118" spans="1:19">
      <c r="A118" s="1">
        <v>483</v>
      </c>
      <c r="B118" s="1">
        <v>1074</v>
      </c>
      <c r="C118" s="16">
        <v>0.169617894</v>
      </c>
      <c r="D118" s="1">
        <v>0</v>
      </c>
      <c r="E118" s="1">
        <v>322</v>
      </c>
      <c r="F118" s="1">
        <v>268</v>
      </c>
      <c r="G118" s="1">
        <v>10.7</v>
      </c>
      <c r="H118" s="1">
        <v>0</v>
      </c>
      <c r="I118" s="1">
        <v>182</v>
      </c>
      <c r="J118" s="1">
        <v>0.0075</v>
      </c>
      <c r="K118" s="1">
        <v>28</v>
      </c>
      <c r="L118" s="1">
        <v>2</v>
      </c>
      <c r="M118" s="1">
        <v>2.4</v>
      </c>
      <c r="N118" s="1">
        <v>200</v>
      </c>
      <c r="O118" s="1">
        <v>0.785</v>
      </c>
      <c r="P118" s="1">
        <v>300</v>
      </c>
      <c r="Q118" s="1">
        <v>20</v>
      </c>
      <c r="R118" s="1">
        <v>6</v>
      </c>
      <c r="S118" s="1">
        <v>95</v>
      </c>
    </row>
    <row r="119" spans="1:19">
      <c r="A119" s="1">
        <v>483</v>
      </c>
      <c r="B119" s="1">
        <v>1074</v>
      </c>
      <c r="C119" s="16">
        <v>0.169617894</v>
      </c>
      <c r="D119" s="1">
        <v>0</v>
      </c>
      <c r="E119" s="1">
        <v>322</v>
      </c>
      <c r="F119" s="1">
        <v>268</v>
      </c>
      <c r="G119" s="1">
        <v>10.7</v>
      </c>
      <c r="H119" s="1">
        <v>0</v>
      </c>
      <c r="I119" s="1">
        <v>182</v>
      </c>
      <c r="J119" s="1">
        <v>0.0075</v>
      </c>
      <c r="K119" s="1">
        <v>28</v>
      </c>
      <c r="L119" s="1">
        <v>3</v>
      </c>
      <c r="M119" s="1">
        <v>2.4</v>
      </c>
      <c r="N119" s="1">
        <v>200</v>
      </c>
      <c r="O119" s="1">
        <v>0.785</v>
      </c>
      <c r="P119" s="1">
        <v>300</v>
      </c>
      <c r="Q119" s="1">
        <v>20</v>
      </c>
      <c r="R119" s="1">
        <v>6</v>
      </c>
      <c r="S119" s="1">
        <v>102</v>
      </c>
    </row>
    <row r="120" spans="1:19">
      <c r="A120" s="1">
        <v>483</v>
      </c>
      <c r="B120" s="1">
        <v>1074</v>
      </c>
      <c r="C120" s="16">
        <v>0.169617894</v>
      </c>
      <c r="D120" s="1">
        <v>0</v>
      </c>
      <c r="E120" s="1">
        <v>322</v>
      </c>
      <c r="F120" s="1">
        <v>268</v>
      </c>
      <c r="G120" s="1">
        <v>10.7</v>
      </c>
      <c r="H120" s="1">
        <v>0</v>
      </c>
      <c r="I120" s="1">
        <v>182</v>
      </c>
      <c r="J120" s="1">
        <v>0.0075</v>
      </c>
      <c r="K120" s="1">
        <v>28</v>
      </c>
      <c r="L120" s="1">
        <v>1</v>
      </c>
      <c r="M120" s="1">
        <v>2.4</v>
      </c>
      <c r="N120" s="1">
        <v>200</v>
      </c>
      <c r="O120" s="1">
        <v>0.785</v>
      </c>
      <c r="P120" s="1">
        <v>300</v>
      </c>
      <c r="Q120" s="1">
        <v>20</v>
      </c>
      <c r="R120" s="1">
        <v>6</v>
      </c>
      <c r="S120" s="1">
        <v>109.2</v>
      </c>
    </row>
    <row r="121" spans="1:19">
      <c r="A121" s="1">
        <v>483</v>
      </c>
      <c r="B121" s="1">
        <v>1074</v>
      </c>
      <c r="C121" s="16">
        <v>0.169617894</v>
      </c>
      <c r="D121" s="1">
        <v>0</v>
      </c>
      <c r="E121" s="1">
        <v>322</v>
      </c>
      <c r="F121" s="1">
        <v>268</v>
      </c>
      <c r="G121" s="1">
        <v>10.7</v>
      </c>
      <c r="H121" s="1">
        <v>0</v>
      </c>
      <c r="I121" s="1">
        <v>182</v>
      </c>
      <c r="J121" s="1">
        <v>0.0075</v>
      </c>
      <c r="K121" s="1">
        <v>28</v>
      </c>
      <c r="L121" s="1">
        <v>2</v>
      </c>
      <c r="M121" s="1">
        <v>2.4</v>
      </c>
      <c r="N121" s="1">
        <v>200</v>
      </c>
      <c r="O121" s="1">
        <v>0.785</v>
      </c>
      <c r="P121" s="1">
        <v>300</v>
      </c>
      <c r="Q121" s="1">
        <v>20</v>
      </c>
      <c r="R121" s="1">
        <v>6</v>
      </c>
      <c r="S121" s="1">
        <v>96.3</v>
      </c>
    </row>
    <row r="122" spans="1:19">
      <c r="A122" s="1">
        <v>483</v>
      </c>
      <c r="B122" s="1">
        <v>1074</v>
      </c>
      <c r="C122" s="16">
        <v>0.169617894</v>
      </c>
      <c r="D122" s="1">
        <v>0</v>
      </c>
      <c r="E122" s="1">
        <v>322</v>
      </c>
      <c r="F122" s="1">
        <v>268</v>
      </c>
      <c r="G122" s="1">
        <v>10.7</v>
      </c>
      <c r="H122" s="1">
        <v>0</v>
      </c>
      <c r="I122" s="1">
        <v>182</v>
      </c>
      <c r="J122" s="1">
        <v>0.0075</v>
      </c>
      <c r="K122" s="1">
        <v>28</v>
      </c>
      <c r="L122" s="1">
        <v>3</v>
      </c>
      <c r="M122" s="1">
        <v>2.4</v>
      </c>
      <c r="N122" s="1">
        <v>200</v>
      </c>
      <c r="O122" s="1">
        <v>0.785</v>
      </c>
      <c r="P122" s="1">
        <v>300</v>
      </c>
      <c r="Q122" s="1">
        <v>20</v>
      </c>
      <c r="R122" s="1">
        <v>6</v>
      </c>
      <c r="S122" s="1">
        <v>103.2</v>
      </c>
    </row>
    <row r="123" spans="1:19">
      <c r="A123" s="1">
        <v>483</v>
      </c>
      <c r="B123" s="1">
        <v>1074</v>
      </c>
      <c r="C123" s="16">
        <v>0.169617894</v>
      </c>
      <c r="D123" s="1">
        <v>0</v>
      </c>
      <c r="E123" s="1">
        <v>322</v>
      </c>
      <c r="F123" s="1">
        <v>268</v>
      </c>
      <c r="G123" s="1">
        <v>10.7</v>
      </c>
      <c r="H123" s="1">
        <v>0</v>
      </c>
      <c r="I123" s="1">
        <v>182</v>
      </c>
      <c r="J123" s="1">
        <v>0.0075</v>
      </c>
      <c r="K123" s="1">
        <v>28</v>
      </c>
      <c r="L123" s="1">
        <v>1</v>
      </c>
      <c r="M123" s="1">
        <v>2.4</v>
      </c>
      <c r="N123" s="1">
        <v>200</v>
      </c>
      <c r="O123" s="1">
        <v>0.785</v>
      </c>
      <c r="P123" s="1">
        <v>300</v>
      </c>
      <c r="Q123" s="1">
        <v>20</v>
      </c>
      <c r="R123" s="1">
        <v>6</v>
      </c>
      <c r="S123" s="1">
        <v>107.1</v>
      </c>
    </row>
    <row r="124" spans="1:19">
      <c r="A124" s="1">
        <v>483</v>
      </c>
      <c r="B124" s="1">
        <v>1074</v>
      </c>
      <c r="C124" s="16">
        <v>0.169617894</v>
      </c>
      <c r="D124" s="1">
        <v>0</v>
      </c>
      <c r="E124" s="1">
        <v>322</v>
      </c>
      <c r="F124" s="1">
        <v>268</v>
      </c>
      <c r="G124" s="1">
        <v>10.7</v>
      </c>
      <c r="H124" s="1">
        <v>0</v>
      </c>
      <c r="I124" s="1">
        <v>182</v>
      </c>
      <c r="J124" s="1">
        <v>0.0075</v>
      </c>
      <c r="K124" s="1">
        <v>28</v>
      </c>
      <c r="L124" s="1">
        <v>2</v>
      </c>
      <c r="M124" s="1">
        <v>2.4</v>
      </c>
      <c r="N124" s="1">
        <v>200</v>
      </c>
      <c r="O124" s="1">
        <v>0.785</v>
      </c>
      <c r="P124" s="1">
        <v>300</v>
      </c>
      <c r="Q124" s="1">
        <v>20</v>
      </c>
      <c r="R124" s="1">
        <v>6</v>
      </c>
      <c r="S124" s="1">
        <v>94</v>
      </c>
    </row>
    <row r="125" spans="1:19">
      <c r="A125" s="1">
        <v>483</v>
      </c>
      <c r="B125" s="1">
        <v>1074</v>
      </c>
      <c r="C125" s="16">
        <v>0.169617894</v>
      </c>
      <c r="D125" s="1">
        <v>0</v>
      </c>
      <c r="E125" s="1">
        <v>322</v>
      </c>
      <c r="F125" s="1">
        <v>268</v>
      </c>
      <c r="G125" s="1">
        <v>10.7</v>
      </c>
      <c r="H125" s="1">
        <v>0</v>
      </c>
      <c r="I125" s="1">
        <v>182</v>
      </c>
      <c r="J125" s="1">
        <v>0.0075</v>
      </c>
      <c r="K125" s="1">
        <v>28</v>
      </c>
      <c r="L125" s="1">
        <v>3</v>
      </c>
      <c r="M125" s="1">
        <v>2.4</v>
      </c>
      <c r="N125" s="1">
        <v>200</v>
      </c>
      <c r="O125" s="1">
        <v>0.785</v>
      </c>
      <c r="P125" s="1">
        <v>300</v>
      </c>
      <c r="Q125" s="1">
        <v>20</v>
      </c>
      <c r="R125" s="1">
        <v>6</v>
      </c>
      <c r="S125" s="1">
        <v>101.8</v>
      </c>
    </row>
    <row r="126" spans="1:19">
      <c r="A126" s="1">
        <v>483</v>
      </c>
      <c r="B126" s="1">
        <v>1074</v>
      </c>
      <c r="C126" s="16">
        <v>0.169617894</v>
      </c>
      <c r="D126" s="1">
        <v>0</v>
      </c>
      <c r="E126" s="1">
        <v>322</v>
      </c>
      <c r="F126" s="1">
        <v>268</v>
      </c>
      <c r="G126" s="1">
        <v>10.7</v>
      </c>
      <c r="H126" s="1">
        <v>0</v>
      </c>
      <c r="I126" s="1">
        <v>182</v>
      </c>
      <c r="J126" s="1">
        <v>0.01</v>
      </c>
      <c r="K126" s="1">
        <v>28</v>
      </c>
      <c r="L126" s="1">
        <v>1</v>
      </c>
      <c r="M126" s="1">
        <v>2.4</v>
      </c>
      <c r="N126" s="1">
        <v>200</v>
      </c>
      <c r="O126" s="1">
        <v>0.785</v>
      </c>
      <c r="P126" s="1">
        <v>300</v>
      </c>
      <c r="Q126" s="1">
        <v>20</v>
      </c>
      <c r="R126" s="1">
        <v>6</v>
      </c>
      <c r="S126" s="1">
        <v>89</v>
      </c>
    </row>
    <row r="127" spans="1:19">
      <c r="A127" s="1">
        <v>483</v>
      </c>
      <c r="B127" s="1">
        <v>1074</v>
      </c>
      <c r="C127" s="16">
        <v>0.169617894</v>
      </c>
      <c r="D127" s="1">
        <v>0</v>
      </c>
      <c r="E127" s="1">
        <v>322</v>
      </c>
      <c r="F127" s="1">
        <v>268</v>
      </c>
      <c r="G127" s="1">
        <v>10.7</v>
      </c>
      <c r="H127" s="1">
        <v>0</v>
      </c>
      <c r="I127" s="1">
        <v>182</v>
      </c>
      <c r="J127" s="1">
        <v>0.01</v>
      </c>
      <c r="K127" s="1">
        <v>28</v>
      </c>
      <c r="L127" s="1">
        <v>2</v>
      </c>
      <c r="M127" s="1">
        <v>2.4</v>
      </c>
      <c r="N127" s="1">
        <v>200</v>
      </c>
      <c r="O127" s="1">
        <v>0.785</v>
      </c>
      <c r="P127" s="1">
        <v>300</v>
      </c>
      <c r="Q127" s="1">
        <v>20</v>
      </c>
      <c r="R127" s="1">
        <v>6</v>
      </c>
      <c r="S127" s="1">
        <v>82</v>
      </c>
    </row>
    <row r="128" spans="1:19">
      <c r="A128" s="1">
        <v>483</v>
      </c>
      <c r="B128" s="1">
        <v>1074</v>
      </c>
      <c r="C128" s="16">
        <v>0.169617894</v>
      </c>
      <c r="D128" s="1">
        <v>0</v>
      </c>
      <c r="E128" s="1">
        <v>322</v>
      </c>
      <c r="F128" s="1">
        <v>268</v>
      </c>
      <c r="G128" s="1">
        <v>10.7</v>
      </c>
      <c r="H128" s="1">
        <v>0</v>
      </c>
      <c r="I128" s="1">
        <v>182</v>
      </c>
      <c r="J128" s="1">
        <v>0.01</v>
      </c>
      <c r="K128" s="1">
        <v>28</v>
      </c>
      <c r="L128" s="1">
        <v>3</v>
      </c>
      <c r="M128" s="1">
        <v>2.4</v>
      </c>
      <c r="N128" s="1">
        <v>200</v>
      </c>
      <c r="O128" s="1">
        <v>0.785</v>
      </c>
      <c r="P128" s="1">
        <v>300</v>
      </c>
      <c r="Q128" s="1">
        <v>20</v>
      </c>
      <c r="R128" s="1">
        <v>6</v>
      </c>
      <c r="S128" s="1">
        <v>100</v>
      </c>
    </row>
    <row r="129" spans="1:19">
      <c r="A129" s="1">
        <v>483</v>
      </c>
      <c r="B129" s="1">
        <v>1074</v>
      </c>
      <c r="C129" s="16">
        <v>0.169617894</v>
      </c>
      <c r="D129" s="1">
        <v>0</v>
      </c>
      <c r="E129" s="1">
        <v>322</v>
      </c>
      <c r="F129" s="1">
        <v>268</v>
      </c>
      <c r="G129" s="1">
        <v>10.7</v>
      </c>
      <c r="H129" s="1">
        <v>0</v>
      </c>
      <c r="I129" s="1">
        <v>182</v>
      </c>
      <c r="J129" s="1">
        <v>0.01</v>
      </c>
      <c r="K129" s="1">
        <v>28</v>
      </c>
      <c r="L129" s="1">
        <v>1</v>
      </c>
      <c r="M129" s="1">
        <v>2.4</v>
      </c>
      <c r="N129" s="1">
        <v>200</v>
      </c>
      <c r="O129" s="1">
        <v>0.785</v>
      </c>
      <c r="P129" s="1">
        <v>300</v>
      </c>
      <c r="Q129" s="1">
        <v>20</v>
      </c>
      <c r="R129" s="1">
        <v>6</v>
      </c>
      <c r="S129" s="1">
        <v>90.5</v>
      </c>
    </row>
    <row r="130" spans="1:19">
      <c r="A130" s="1">
        <v>483</v>
      </c>
      <c r="B130" s="1">
        <v>1074</v>
      </c>
      <c r="C130" s="16">
        <v>0.169617894</v>
      </c>
      <c r="D130" s="1">
        <v>0</v>
      </c>
      <c r="E130" s="1">
        <v>322</v>
      </c>
      <c r="F130" s="1">
        <v>268</v>
      </c>
      <c r="G130" s="1">
        <v>10.7</v>
      </c>
      <c r="H130" s="1">
        <v>0</v>
      </c>
      <c r="I130" s="1">
        <v>182</v>
      </c>
      <c r="J130" s="1">
        <v>0.01</v>
      </c>
      <c r="K130" s="1">
        <v>28</v>
      </c>
      <c r="L130" s="1">
        <v>2</v>
      </c>
      <c r="M130" s="1">
        <v>2.4</v>
      </c>
      <c r="N130" s="1">
        <v>200</v>
      </c>
      <c r="O130" s="1">
        <v>0.785</v>
      </c>
      <c r="P130" s="1">
        <v>300</v>
      </c>
      <c r="Q130" s="1">
        <v>20</v>
      </c>
      <c r="R130" s="1">
        <v>6</v>
      </c>
      <c r="S130" s="1">
        <v>82.7</v>
      </c>
    </row>
    <row r="131" spans="1:19">
      <c r="A131" s="1">
        <v>483</v>
      </c>
      <c r="B131" s="1">
        <v>1074</v>
      </c>
      <c r="C131" s="16">
        <v>0.169617894</v>
      </c>
      <c r="D131" s="1">
        <v>0</v>
      </c>
      <c r="E131" s="1">
        <v>322</v>
      </c>
      <c r="F131" s="1">
        <v>268</v>
      </c>
      <c r="G131" s="1">
        <v>10.7</v>
      </c>
      <c r="H131" s="1">
        <v>0</v>
      </c>
      <c r="I131" s="1">
        <v>182</v>
      </c>
      <c r="J131" s="1">
        <v>0.01</v>
      </c>
      <c r="K131" s="1">
        <v>28</v>
      </c>
      <c r="L131" s="1">
        <v>3</v>
      </c>
      <c r="M131" s="1">
        <v>2.4</v>
      </c>
      <c r="N131" s="1">
        <v>200</v>
      </c>
      <c r="O131" s="1">
        <v>0.785</v>
      </c>
      <c r="P131" s="1">
        <v>300</v>
      </c>
      <c r="Q131" s="1">
        <v>20</v>
      </c>
      <c r="R131" s="1">
        <v>6</v>
      </c>
      <c r="S131" s="1">
        <v>100.8</v>
      </c>
    </row>
    <row r="132" spans="1:19">
      <c r="A132" s="1">
        <v>483</v>
      </c>
      <c r="B132" s="1">
        <v>1074</v>
      </c>
      <c r="C132" s="16">
        <v>0.169617894</v>
      </c>
      <c r="D132" s="1">
        <v>0</v>
      </c>
      <c r="E132" s="1">
        <v>322</v>
      </c>
      <c r="F132" s="1">
        <v>268</v>
      </c>
      <c r="G132" s="1">
        <v>10.7</v>
      </c>
      <c r="H132" s="1">
        <v>0</v>
      </c>
      <c r="I132" s="1">
        <v>182</v>
      </c>
      <c r="J132" s="1">
        <v>0.01</v>
      </c>
      <c r="K132" s="1">
        <v>28</v>
      </c>
      <c r="L132" s="1">
        <v>1</v>
      </c>
      <c r="M132" s="1">
        <v>2.4</v>
      </c>
      <c r="N132" s="1">
        <v>200</v>
      </c>
      <c r="O132" s="1">
        <v>0.785</v>
      </c>
      <c r="P132" s="1">
        <v>300</v>
      </c>
      <c r="Q132" s="1">
        <v>20</v>
      </c>
      <c r="R132" s="1">
        <v>6</v>
      </c>
      <c r="S132" s="1">
        <v>88</v>
      </c>
    </row>
    <row r="133" spans="1:19">
      <c r="A133" s="1">
        <v>483</v>
      </c>
      <c r="B133" s="1">
        <v>1074</v>
      </c>
      <c r="C133" s="16">
        <v>0.169617894</v>
      </c>
      <c r="D133" s="1">
        <v>0</v>
      </c>
      <c r="E133" s="1">
        <v>322</v>
      </c>
      <c r="F133" s="1">
        <v>268</v>
      </c>
      <c r="G133" s="1">
        <v>10.7</v>
      </c>
      <c r="H133" s="1">
        <v>0</v>
      </c>
      <c r="I133" s="1">
        <v>182</v>
      </c>
      <c r="J133" s="1">
        <v>0.01</v>
      </c>
      <c r="K133" s="1">
        <v>28</v>
      </c>
      <c r="L133" s="1">
        <v>2</v>
      </c>
      <c r="M133" s="1">
        <v>2.4</v>
      </c>
      <c r="N133" s="1">
        <v>200</v>
      </c>
      <c r="O133" s="1">
        <v>0.785</v>
      </c>
      <c r="P133" s="1">
        <v>300</v>
      </c>
      <c r="Q133" s="1">
        <v>20</v>
      </c>
      <c r="R133" s="1">
        <v>6</v>
      </c>
      <c r="S133" s="1">
        <v>81.1</v>
      </c>
    </row>
    <row r="134" spans="1:19">
      <c r="A134" s="1">
        <v>483</v>
      </c>
      <c r="B134" s="1">
        <v>1074</v>
      </c>
      <c r="C134" s="16">
        <v>0.169617894</v>
      </c>
      <c r="D134" s="1">
        <v>0</v>
      </c>
      <c r="E134" s="1">
        <v>322</v>
      </c>
      <c r="F134" s="1">
        <v>268</v>
      </c>
      <c r="G134" s="1">
        <v>10.7</v>
      </c>
      <c r="H134" s="1">
        <v>0</v>
      </c>
      <c r="I134" s="1">
        <v>182</v>
      </c>
      <c r="J134" s="1">
        <v>0.01</v>
      </c>
      <c r="K134" s="1">
        <v>28</v>
      </c>
      <c r="L134" s="1">
        <v>3</v>
      </c>
      <c r="M134" s="1">
        <v>2.4</v>
      </c>
      <c r="N134" s="1">
        <v>200</v>
      </c>
      <c r="O134" s="1">
        <v>0.785</v>
      </c>
      <c r="P134" s="1">
        <v>300</v>
      </c>
      <c r="Q134" s="1">
        <v>20</v>
      </c>
      <c r="R134" s="1">
        <v>6</v>
      </c>
      <c r="S134" s="1">
        <v>98.8</v>
      </c>
    </row>
    <row r="135" spans="1:19">
      <c r="A135" s="1">
        <v>309</v>
      </c>
      <c r="B135" s="1">
        <v>345</v>
      </c>
      <c r="C135" s="16">
        <v>0.240449438</v>
      </c>
      <c r="D135" s="1">
        <v>1026</v>
      </c>
      <c r="E135" s="1">
        <v>0</v>
      </c>
      <c r="F135" s="1">
        <v>0</v>
      </c>
      <c r="G135" s="1">
        <v>3</v>
      </c>
      <c r="H135" s="1">
        <v>2</v>
      </c>
      <c r="I135" s="1">
        <v>321</v>
      </c>
      <c r="J135" s="1">
        <v>0.02</v>
      </c>
      <c r="K135" s="1">
        <v>1</v>
      </c>
      <c r="L135" s="1">
        <v>3</v>
      </c>
      <c r="M135" s="1">
        <v>1.6</v>
      </c>
      <c r="N135" s="1">
        <v>41</v>
      </c>
      <c r="O135" s="1">
        <v>1.3</v>
      </c>
      <c r="P135" s="19">
        <v>205.1282051</v>
      </c>
      <c r="Q135" s="1">
        <v>39</v>
      </c>
      <c r="R135" s="1">
        <v>8</v>
      </c>
      <c r="S135" s="1">
        <v>15</v>
      </c>
    </row>
    <row r="136" spans="1:19">
      <c r="A136" s="1">
        <v>309</v>
      </c>
      <c r="B136" s="1">
        <v>345</v>
      </c>
      <c r="C136" s="16">
        <v>0.240449438</v>
      </c>
      <c r="D136" s="1">
        <v>1026</v>
      </c>
      <c r="E136" s="1">
        <v>0</v>
      </c>
      <c r="F136" s="1">
        <v>0</v>
      </c>
      <c r="G136" s="1">
        <v>3</v>
      </c>
      <c r="H136" s="1">
        <v>2</v>
      </c>
      <c r="I136" s="1">
        <v>321</v>
      </c>
      <c r="J136" s="1">
        <v>0.02</v>
      </c>
      <c r="K136" s="1">
        <v>1</v>
      </c>
      <c r="L136" s="1">
        <v>3</v>
      </c>
      <c r="M136" s="1">
        <v>1.6</v>
      </c>
      <c r="N136" s="1">
        <v>41</v>
      </c>
      <c r="O136" s="1">
        <v>1.3</v>
      </c>
      <c r="P136" s="19">
        <v>205.1282051</v>
      </c>
      <c r="Q136" s="1">
        <v>39</v>
      </c>
      <c r="R136" s="1">
        <v>8</v>
      </c>
      <c r="S136" s="1">
        <v>16</v>
      </c>
    </row>
    <row r="137" spans="1:19">
      <c r="A137" s="1">
        <v>309</v>
      </c>
      <c r="B137" s="1">
        <v>345</v>
      </c>
      <c r="C137" s="16">
        <v>0.240449438</v>
      </c>
      <c r="D137" s="1">
        <v>1026</v>
      </c>
      <c r="E137" s="1">
        <v>0</v>
      </c>
      <c r="F137" s="1">
        <v>0</v>
      </c>
      <c r="G137" s="1">
        <v>3</v>
      </c>
      <c r="H137" s="1">
        <v>2</v>
      </c>
      <c r="I137" s="1">
        <v>321</v>
      </c>
      <c r="J137" s="1">
        <v>0.02</v>
      </c>
      <c r="K137" s="1">
        <v>1</v>
      </c>
      <c r="L137" s="1">
        <v>3</v>
      </c>
      <c r="M137" s="1">
        <v>1.6</v>
      </c>
      <c r="N137" s="1">
        <v>41</v>
      </c>
      <c r="O137" s="1">
        <v>1.3</v>
      </c>
      <c r="P137" s="19">
        <v>205.1282051</v>
      </c>
      <c r="Q137" s="1">
        <v>39</v>
      </c>
      <c r="R137" s="1">
        <v>8</v>
      </c>
      <c r="S137" s="1">
        <v>14.5</v>
      </c>
    </row>
    <row r="138" spans="1:19">
      <c r="A138" s="1">
        <v>309</v>
      </c>
      <c r="B138" s="1">
        <v>345</v>
      </c>
      <c r="C138" s="16">
        <v>0.240449438</v>
      </c>
      <c r="D138" s="1">
        <v>1026</v>
      </c>
      <c r="E138" s="1">
        <v>0</v>
      </c>
      <c r="F138" s="1">
        <v>0</v>
      </c>
      <c r="G138" s="1">
        <v>3</v>
      </c>
      <c r="H138" s="1">
        <v>2</v>
      </c>
      <c r="I138" s="1">
        <v>321</v>
      </c>
      <c r="J138" s="1">
        <v>0.02</v>
      </c>
      <c r="K138" s="1">
        <v>3</v>
      </c>
      <c r="L138" s="1">
        <v>3</v>
      </c>
      <c r="M138" s="1">
        <v>1.6</v>
      </c>
      <c r="N138" s="1">
        <v>41</v>
      </c>
      <c r="O138" s="1">
        <v>1.3</v>
      </c>
      <c r="P138" s="19">
        <v>205.1282051</v>
      </c>
      <c r="Q138" s="1">
        <v>39</v>
      </c>
      <c r="R138" s="1">
        <v>8</v>
      </c>
      <c r="S138" s="1">
        <v>20</v>
      </c>
    </row>
    <row r="139" spans="1:19">
      <c r="A139" s="1">
        <v>309</v>
      </c>
      <c r="B139" s="1">
        <v>345</v>
      </c>
      <c r="C139" s="16">
        <v>0.240449438</v>
      </c>
      <c r="D139" s="1">
        <v>1026</v>
      </c>
      <c r="E139" s="1">
        <v>0</v>
      </c>
      <c r="F139" s="1">
        <v>0</v>
      </c>
      <c r="G139" s="1">
        <v>3</v>
      </c>
      <c r="H139" s="1">
        <v>2</v>
      </c>
      <c r="I139" s="1">
        <v>321</v>
      </c>
      <c r="J139" s="1">
        <v>0.02</v>
      </c>
      <c r="K139" s="1">
        <v>3</v>
      </c>
      <c r="L139" s="1">
        <v>3</v>
      </c>
      <c r="M139" s="1">
        <v>1.6</v>
      </c>
      <c r="N139" s="1">
        <v>41</v>
      </c>
      <c r="O139" s="1">
        <v>1.3</v>
      </c>
      <c r="P139" s="19">
        <v>205.1282051</v>
      </c>
      <c r="Q139" s="1">
        <v>39</v>
      </c>
      <c r="R139" s="1">
        <v>8</v>
      </c>
      <c r="S139" s="1">
        <v>22</v>
      </c>
    </row>
    <row r="140" spans="1:19">
      <c r="A140" s="1">
        <v>309</v>
      </c>
      <c r="B140" s="1">
        <v>345</v>
      </c>
      <c r="C140" s="16">
        <v>0.240449438</v>
      </c>
      <c r="D140" s="1">
        <v>1026</v>
      </c>
      <c r="E140" s="1">
        <v>0</v>
      </c>
      <c r="F140" s="1">
        <v>0</v>
      </c>
      <c r="G140" s="1">
        <v>3</v>
      </c>
      <c r="H140" s="1">
        <v>2</v>
      </c>
      <c r="I140" s="1">
        <v>321</v>
      </c>
      <c r="J140" s="1">
        <v>0.02</v>
      </c>
      <c r="K140" s="1">
        <v>3</v>
      </c>
      <c r="L140" s="1">
        <v>3</v>
      </c>
      <c r="M140" s="1">
        <v>1.6</v>
      </c>
      <c r="N140" s="1">
        <v>41</v>
      </c>
      <c r="O140" s="1">
        <v>1.3</v>
      </c>
      <c r="P140" s="19">
        <v>205.1282051</v>
      </c>
      <c r="Q140" s="1">
        <v>39</v>
      </c>
      <c r="R140" s="1">
        <v>8</v>
      </c>
      <c r="S140" s="1">
        <v>17</v>
      </c>
    </row>
    <row r="141" spans="1:19">
      <c r="A141" s="1">
        <v>309</v>
      </c>
      <c r="B141" s="1">
        <v>345</v>
      </c>
      <c r="C141" s="16">
        <v>0.240449438</v>
      </c>
      <c r="D141" s="1">
        <v>1026</v>
      </c>
      <c r="E141" s="1">
        <v>0</v>
      </c>
      <c r="F141" s="1">
        <v>0</v>
      </c>
      <c r="G141" s="1">
        <v>3</v>
      </c>
      <c r="H141" s="1">
        <v>2</v>
      </c>
      <c r="I141" s="1">
        <v>321</v>
      </c>
      <c r="J141" s="1">
        <v>0.02</v>
      </c>
      <c r="K141" s="1">
        <v>7</v>
      </c>
      <c r="L141" s="1">
        <v>3</v>
      </c>
      <c r="M141" s="1">
        <v>1.6</v>
      </c>
      <c r="N141" s="1">
        <v>41</v>
      </c>
      <c r="O141" s="1">
        <v>1.3</v>
      </c>
      <c r="P141" s="19">
        <v>205.1282051</v>
      </c>
      <c r="Q141" s="1">
        <v>39</v>
      </c>
      <c r="R141" s="1">
        <v>8</v>
      </c>
      <c r="S141" s="1">
        <v>29</v>
      </c>
    </row>
    <row r="142" spans="1:19">
      <c r="A142" s="1">
        <v>309</v>
      </c>
      <c r="B142" s="1">
        <v>345</v>
      </c>
      <c r="C142" s="16">
        <v>0.240449438</v>
      </c>
      <c r="D142" s="1">
        <v>1026</v>
      </c>
      <c r="E142" s="1">
        <v>0</v>
      </c>
      <c r="F142" s="1">
        <v>0</v>
      </c>
      <c r="G142" s="1">
        <v>3</v>
      </c>
      <c r="H142" s="1">
        <v>2</v>
      </c>
      <c r="I142" s="1">
        <v>321</v>
      </c>
      <c r="J142" s="1">
        <v>0.02</v>
      </c>
      <c r="K142" s="1">
        <v>7</v>
      </c>
      <c r="L142" s="1">
        <v>3</v>
      </c>
      <c r="M142" s="1">
        <v>1.6</v>
      </c>
      <c r="N142" s="1">
        <v>41</v>
      </c>
      <c r="O142" s="1">
        <v>1.3</v>
      </c>
      <c r="P142" s="19">
        <v>205.1282051</v>
      </c>
      <c r="Q142" s="1">
        <v>39</v>
      </c>
      <c r="R142" s="1">
        <v>8</v>
      </c>
      <c r="S142" s="1">
        <v>27</v>
      </c>
    </row>
    <row r="143" spans="1:19">
      <c r="A143" s="1">
        <v>309</v>
      </c>
      <c r="B143" s="1">
        <v>345</v>
      </c>
      <c r="C143" s="16">
        <v>0.240449438</v>
      </c>
      <c r="D143" s="1">
        <v>1026</v>
      </c>
      <c r="E143" s="1">
        <v>0</v>
      </c>
      <c r="F143" s="1">
        <v>0</v>
      </c>
      <c r="G143" s="1">
        <v>3</v>
      </c>
      <c r="H143" s="1">
        <v>2</v>
      </c>
      <c r="I143" s="1">
        <v>321</v>
      </c>
      <c r="J143" s="1">
        <v>0.02</v>
      </c>
      <c r="K143" s="1">
        <v>7</v>
      </c>
      <c r="L143" s="1">
        <v>3</v>
      </c>
      <c r="M143" s="1">
        <v>1.6</v>
      </c>
      <c r="N143" s="1">
        <v>41</v>
      </c>
      <c r="O143" s="1">
        <v>1.3</v>
      </c>
      <c r="P143" s="19">
        <v>205.1282051</v>
      </c>
      <c r="Q143" s="1">
        <v>39</v>
      </c>
      <c r="R143" s="1">
        <v>8</v>
      </c>
      <c r="S143" s="1">
        <v>28</v>
      </c>
    </row>
    <row r="144" spans="1:19">
      <c r="A144" s="1">
        <v>309</v>
      </c>
      <c r="B144" s="1">
        <v>345</v>
      </c>
      <c r="C144" s="16">
        <v>0.240449438</v>
      </c>
      <c r="D144" s="1">
        <v>1026</v>
      </c>
      <c r="E144" s="1">
        <v>0</v>
      </c>
      <c r="F144" s="1">
        <v>0</v>
      </c>
      <c r="G144" s="1">
        <v>3</v>
      </c>
      <c r="H144" s="1">
        <v>2</v>
      </c>
      <c r="I144" s="1">
        <v>321</v>
      </c>
      <c r="J144" s="1">
        <v>0.02</v>
      </c>
      <c r="K144" s="1">
        <v>28</v>
      </c>
      <c r="L144" s="1">
        <v>3</v>
      </c>
      <c r="M144" s="1">
        <v>1.6</v>
      </c>
      <c r="N144" s="1">
        <v>41</v>
      </c>
      <c r="O144" s="1">
        <v>1.3</v>
      </c>
      <c r="P144" s="19">
        <v>205.1282051</v>
      </c>
      <c r="Q144" s="1">
        <v>39</v>
      </c>
      <c r="R144" s="1">
        <v>8</v>
      </c>
      <c r="S144" s="1">
        <v>32</v>
      </c>
    </row>
    <row r="145" spans="1:19">
      <c r="A145" s="1">
        <v>309</v>
      </c>
      <c r="B145" s="1">
        <v>345</v>
      </c>
      <c r="C145" s="16">
        <v>0.240449438</v>
      </c>
      <c r="D145" s="1">
        <v>1026</v>
      </c>
      <c r="E145" s="1">
        <v>0</v>
      </c>
      <c r="F145" s="1">
        <v>0</v>
      </c>
      <c r="G145" s="1">
        <v>3</v>
      </c>
      <c r="H145" s="1">
        <v>2</v>
      </c>
      <c r="I145" s="1">
        <v>321</v>
      </c>
      <c r="J145" s="1">
        <v>0.02</v>
      </c>
      <c r="K145" s="1">
        <v>28</v>
      </c>
      <c r="L145" s="1">
        <v>3</v>
      </c>
      <c r="M145" s="1">
        <v>1.6</v>
      </c>
      <c r="N145" s="1">
        <v>41</v>
      </c>
      <c r="O145" s="1">
        <v>1.3</v>
      </c>
      <c r="P145" s="19">
        <v>205.1282051</v>
      </c>
      <c r="Q145" s="1">
        <v>39</v>
      </c>
      <c r="R145" s="1">
        <v>8</v>
      </c>
      <c r="S145" s="1">
        <v>32.5</v>
      </c>
    </row>
    <row r="146" spans="1:19">
      <c r="A146" s="1">
        <v>309</v>
      </c>
      <c r="B146" s="1">
        <v>345</v>
      </c>
      <c r="C146" s="16">
        <v>0.240449438</v>
      </c>
      <c r="D146" s="1">
        <v>1026</v>
      </c>
      <c r="E146" s="1">
        <v>0</v>
      </c>
      <c r="F146" s="1">
        <v>0</v>
      </c>
      <c r="G146" s="1">
        <v>3</v>
      </c>
      <c r="H146" s="1">
        <v>2</v>
      </c>
      <c r="I146" s="1">
        <v>321</v>
      </c>
      <c r="J146" s="1">
        <v>0.02</v>
      </c>
      <c r="K146" s="1">
        <v>28</v>
      </c>
      <c r="L146" s="1">
        <v>3</v>
      </c>
      <c r="M146" s="1">
        <v>1.6</v>
      </c>
      <c r="N146" s="1">
        <v>41</v>
      </c>
      <c r="O146" s="1">
        <v>1.3</v>
      </c>
      <c r="P146" s="19">
        <v>205.1282051</v>
      </c>
      <c r="Q146" s="1">
        <v>39</v>
      </c>
      <c r="R146" s="1">
        <v>8</v>
      </c>
      <c r="S146" s="1">
        <v>29.3</v>
      </c>
    </row>
    <row r="147" spans="1:19">
      <c r="A147" s="1">
        <v>309</v>
      </c>
      <c r="B147" s="1">
        <v>345</v>
      </c>
      <c r="C147" s="16">
        <v>0.240449438</v>
      </c>
      <c r="D147" s="1">
        <v>1026</v>
      </c>
      <c r="E147" s="1">
        <v>0</v>
      </c>
      <c r="F147" s="1">
        <v>0</v>
      </c>
      <c r="G147" s="1">
        <v>3</v>
      </c>
      <c r="H147" s="1">
        <v>2</v>
      </c>
      <c r="I147" s="1">
        <v>321</v>
      </c>
      <c r="J147" s="1">
        <v>0.02</v>
      </c>
      <c r="K147" s="1">
        <v>1</v>
      </c>
      <c r="L147" s="1">
        <v>2</v>
      </c>
      <c r="M147" s="1">
        <v>1.6</v>
      </c>
      <c r="N147" s="1">
        <v>41</v>
      </c>
      <c r="O147" s="1">
        <v>1.3</v>
      </c>
      <c r="P147" s="19">
        <v>205.1282051</v>
      </c>
      <c r="Q147" s="1">
        <v>39</v>
      </c>
      <c r="R147" s="1">
        <v>8</v>
      </c>
      <c r="S147" s="1">
        <v>12</v>
      </c>
    </row>
    <row r="148" spans="1:19">
      <c r="A148" s="1">
        <v>309</v>
      </c>
      <c r="B148" s="1">
        <v>345</v>
      </c>
      <c r="C148" s="16">
        <v>0.240449438</v>
      </c>
      <c r="D148" s="1">
        <v>1026</v>
      </c>
      <c r="E148" s="1">
        <v>0</v>
      </c>
      <c r="F148" s="1">
        <v>0</v>
      </c>
      <c r="G148" s="1">
        <v>3</v>
      </c>
      <c r="H148" s="1">
        <v>2</v>
      </c>
      <c r="I148" s="1">
        <v>321</v>
      </c>
      <c r="J148" s="1">
        <v>0.02</v>
      </c>
      <c r="K148" s="1">
        <v>1</v>
      </c>
      <c r="L148" s="1">
        <v>2</v>
      </c>
      <c r="M148" s="1">
        <v>1.6</v>
      </c>
      <c r="N148" s="1">
        <v>41</v>
      </c>
      <c r="O148" s="1">
        <v>1.3</v>
      </c>
      <c r="P148" s="19">
        <v>205.1282051</v>
      </c>
      <c r="Q148" s="1">
        <v>39</v>
      </c>
      <c r="R148" s="1">
        <v>8</v>
      </c>
      <c r="S148" s="1">
        <v>9</v>
      </c>
    </row>
    <row r="149" spans="1:19">
      <c r="A149" s="1">
        <v>309</v>
      </c>
      <c r="B149" s="1">
        <v>345</v>
      </c>
      <c r="C149" s="16">
        <v>0.240449438</v>
      </c>
      <c r="D149" s="1">
        <v>1026</v>
      </c>
      <c r="E149" s="1">
        <v>0</v>
      </c>
      <c r="F149" s="1">
        <v>0</v>
      </c>
      <c r="G149" s="1">
        <v>3</v>
      </c>
      <c r="H149" s="1">
        <v>2</v>
      </c>
      <c r="I149" s="1">
        <v>321</v>
      </c>
      <c r="J149" s="1">
        <v>0.02</v>
      </c>
      <c r="K149" s="1">
        <v>1</v>
      </c>
      <c r="L149" s="1">
        <v>2</v>
      </c>
      <c r="M149" s="1">
        <v>1.6</v>
      </c>
      <c r="N149" s="1">
        <v>41</v>
      </c>
      <c r="O149" s="1">
        <v>1.3</v>
      </c>
      <c r="P149" s="19">
        <v>205.1282051</v>
      </c>
      <c r="Q149" s="1">
        <v>39</v>
      </c>
      <c r="R149" s="1">
        <v>8</v>
      </c>
      <c r="S149" s="1">
        <v>8</v>
      </c>
    </row>
    <row r="150" spans="1:19">
      <c r="A150" s="1">
        <v>309</v>
      </c>
      <c r="B150" s="1">
        <v>345</v>
      </c>
      <c r="C150" s="16">
        <v>0.240449438</v>
      </c>
      <c r="D150" s="1">
        <v>1026</v>
      </c>
      <c r="E150" s="1">
        <v>0</v>
      </c>
      <c r="F150" s="1">
        <v>0</v>
      </c>
      <c r="G150" s="1">
        <v>3</v>
      </c>
      <c r="H150" s="1">
        <v>2</v>
      </c>
      <c r="I150" s="1">
        <v>321</v>
      </c>
      <c r="J150" s="1">
        <v>0.02</v>
      </c>
      <c r="K150" s="1">
        <v>3</v>
      </c>
      <c r="L150" s="1">
        <v>2</v>
      </c>
      <c r="M150" s="1">
        <v>1.6</v>
      </c>
      <c r="N150" s="1">
        <v>41</v>
      </c>
      <c r="O150" s="1">
        <v>1.3</v>
      </c>
      <c r="P150" s="19">
        <v>205.1282051</v>
      </c>
      <c r="Q150" s="1">
        <v>39</v>
      </c>
      <c r="R150" s="1">
        <v>8</v>
      </c>
      <c r="S150" s="1">
        <v>15</v>
      </c>
    </row>
    <row r="151" spans="1:19">
      <c r="A151" s="1">
        <v>309</v>
      </c>
      <c r="B151" s="1">
        <v>345</v>
      </c>
      <c r="C151" s="16">
        <v>0.240449438</v>
      </c>
      <c r="D151" s="1">
        <v>1026</v>
      </c>
      <c r="E151" s="1">
        <v>0</v>
      </c>
      <c r="F151" s="1">
        <v>0</v>
      </c>
      <c r="G151" s="1">
        <v>3</v>
      </c>
      <c r="H151" s="1">
        <v>2</v>
      </c>
      <c r="I151" s="1">
        <v>321</v>
      </c>
      <c r="J151" s="1">
        <v>0.02</v>
      </c>
      <c r="K151" s="1">
        <v>3</v>
      </c>
      <c r="L151" s="1">
        <v>2</v>
      </c>
      <c r="M151" s="1">
        <v>1.6</v>
      </c>
      <c r="N151" s="1">
        <v>41</v>
      </c>
      <c r="O151" s="1">
        <v>1.3</v>
      </c>
      <c r="P151" s="19">
        <v>205.1282051</v>
      </c>
      <c r="Q151" s="1">
        <v>39</v>
      </c>
      <c r="R151" s="1">
        <v>8</v>
      </c>
      <c r="S151" s="1">
        <v>16</v>
      </c>
    </row>
    <row r="152" spans="1:19">
      <c r="A152" s="1">
        <v>309</v>
      </c>
      <c r="B152" s="1">
        <v>345</v>
      </c>
      <c r="C152" s="16">
        <v>0.240449438</v>
      </c>
      <c r="D152" s="1">
        <v>1026</v>
      </c>
      <c r="E152" s="1">
        <v>0</v>
      </c>
      <c r="F152" s="1">
        <v>0</v>
      </c>
      <c r="G152" s="1">
        <v>3</v>
      </c>
      <c r="H152" s="1">
        <v>2</v>
      </c>
      <c r="I152" s="1">
        <v>321</v>
      </c>
      <c r="J152" s="1">
        <v>0.02</v>
      </c>
      <c r="K152" s="1">
        <v>3</v>
      </c>
      <c r="L152" s="1">
        <v>2</v>
      </c>
      <c r="M152" s="1">
        <v>1.6</v>
      </c>
      <c r="N152" s="1">
        <v>41</v>
      </c>
      <c r="O152" s="1">
        <v>1.3</v>
      </c>
      <c r="P152" s="19">
        <v>205.1282051</v>
      </c>
      <c r="Q152" s="1">
        <v>39</v>
      </c>
      <c r="R152" s="1">
        <v>8</v>
      </c>
      <c r="S152" s="1">
        <v>13.7</v>
      </c>
    </row>
    <row r="153" spans="1:19">
      <c r="A153" s="1">
        <v>309</v>
      </c>
      <c r="B153" s="1">
        <v>345</v>
      </c>
      <c r="C153" s="16">
        <v>0.240449438</v>
      </c>
      <c r="D153" s="1">
        <v>1026</v>
      </c>
      <c r="E153" s="1">
        <v>0</v>
      </c>
      <c r="F153" s="1">
        <v>0</v>
      </c>
      <c r="G153" s="1">
        <v>3</v>
      </c>
      <c r="H153" s="1">
        <v>2</v>
      </c>
      <c r="I153" s="1">
        <v>321</v>
      </c>
      <c r="J153" s="1">
        <v>0.02</v>
      </c>
      <c r="K153" s="1">
        <v>7</v>
      </c>
      <c r="L153" s="1">
        <v>2</v>
      </c>
      <c r="M153" s="1">
        <v>1.6</v>
      </c>
      <c r="N153" s="1">
        <v>41</v>
      </c>
      <c r="O153" s="1">
        <v>1.3</v>
      </c>
      <c r="P153" s="19">
        <v>205.1282051</v>
      </c>
      <c r="Q153" s="1">
        <v>39</v>
      </c>
      <c r="R153" s="1">
        <v>8</v>
      </c>
      <c r="S153" s="1">
        <v>21</v>
      </c>
    </row>
    <row r="154" spans="1:19">
      <c r="A154" s="1">
        <v>309</v>
      </c>
      <c r="B154" s="1">
        <v>345</v>
      </c>
      <c r="C154" s="16">
        <v>0.240449438</v>
      </c>
      <c r="D154" s="1">
        <v>1026</v>
      </c>
      <c r="E154" s="1">
        <v>0</v>
      </c>
      <c r="F154" s="1">
        <v>0</v>
      </c>
      <c r="G154" s="1">
        <v>3</v>
      </c>
      <c r="H154" s="1">
        <v>2</v>
      </c>
      <c r="I154" s="1">
        <v>321</v>
      </c>
      <c r="J154" s="1">
        <v>0.02</v>
      </c>
      <c r="K154" s="1">
        <v>7</v>
      </c>
      <c r="L154" s="1">
        <v>2</v>
      </c>
      <c r="M154" s="1">
        <v>1.6</v>
      </c>
      <c r="N154" s="1">
        <v>41</v>
      </c>
      <c r="O154" s="1">
        <v>1.3</v>
      </c>
      <c r="P154" s="19">
        <v>205.1282051</v>
      </c>
      <c r="Q154" s="1">
        <v>39</v>
      </c>
      <c r="R154" s="1">
        <v>8</v>
      </c>
      <c r="S154" s="1">
        <v>25</v>
      </c>
    </row>
    <row r="155" spans="1:19">
      <c r="A155" s="1">
        <v>309</v>
      </c>
      <c r="B155" s="1">
        <v>345</v>
      </c>
      <c r="C155" s="16">
        <v>0.240449438</v>
      </c>
      <c r="D155" s="1">
        <v>1026</v>
      </c>
      <c r="E155" s="1">
        <v>0</v>
      </c>
      <c r="F155" s="1">
        <v>0</v>
      </c>
      <c r="G155" s="1">
        <v>3</v>
      </c>
      <c r="H155" s="1">
        <v>2</v>
      </c>
      <c r="I155" s="1">
        <v>321</v>
      </c>
      <c r="J155" s="1">
        <v>0.02</v>
      </c>
      <c r="K155" s="1">
        <v>7</v>
      </c>
      <c r="L155" s="1">
        <v>2</v>
      </c>
      <c r="M155" s="1">
        <v>1.6</v>
      </c>
      <c r="N155" s="1">
        <v>41</v>
      </c>
      <c r="O155" s="1">
        <v>1.3</v>
      </c>
      <c r="P155" s="19">
        <v>205.1282051</v>
      </c>
      <c r="Q155" s="1">
        <v>39</v>
      </c>
      <c r="R155" s="1">
        <v>8</v>
      </c>
      <c r="S155" s="1">
        <v>19</v>
      </c>
    </row>
    <row r="156" spans="1:19">
      <c r="A156" s="1">
        <v>309</v>
      </c>
      <c r="B156" s="1">
        <v>345</v>
      </c>
      <c r="C156" s="16">
        <v>0.240449438</v>
      </c>
      <c r="D156" s="1">
        <v>1026</v>
      </c>
      <c r="E156" s="1">
        <v>0</v>
      </c>
      <c r="F156" s="1">
        <v>0</v>
      </c>
      <c r="G156" s="1">
        <v>3</v>
      </c>
      <c r="H156" s="1">
        <v>2</v>
      </c>
      <c r="I156" s="1">
        <v>321</v>
      </c>
      <c r="J156" s="1">
        <v>0.02</v>
      </c>
      <c r="K156" s="1">
        <v>28</v>
      </c>
      <c r="L156" s="1">
        <v>2</v>
      </c>
      <c r="M156" s="1">
        <v>1.6</v>
      </c>
      <c r="N156" s="1">
        <v>41</v>
      </c>
      <c r="O156" s="1">
        <v>1.3</v>
      </c>
      <c r="P156" s="19">
        <v>205.1282051</v>
      </c>
      <c r="Q156" s="1">
        <v>39</v>
      </c>
      <c r="R156" s="1">
        <v>8</v>
      </c>
      <c r="S156" s="1">
        <v>24</v>
      </c>
    </row>
    <row r="157" spans="1:19">
      <c r="A157" s="1">
        <v>309</v>
      </c>
      <c r="B157" s="1">
        <v>345</v>
      </c>
      <c r="C157" s="16">
        <v>0.240449438</v>
      </c>
      <c r="D157" s="1">
        <v>1026</v>
      </c>
      <c r="E157" s="1">
        <v>0</v>
      </c>
      <c r="F157" s="1">
        <v>0</v>
      </c>
      <c r="G157" s="1">
        <v>3</v>
      </c>
      <c r="H157" s="1">
        <v>2</v>
      </c>
      <c r="I157" s="1">
        <v>321</v>
      </c>
      <c r="J157" s="1">
        <v>0.02</v>
      </c>
      <c r="K157" s="1">
        <v>28</v>
      </c>
      <c r="L157" s="1">
        <v>2</v>
      </c>
      <c r="M157" s="1">
        <v>1.6</v>
      </c>
      <c r="N157" s="1">
        <v>41</v>
      </c>
      <c r="O157" s="1">
        <v>1.3</v>
      </c>
      <c r="P157" s="19">
        <v>205.1282051</v>
      </c>
      <c r="Q157" s="1">
        <v>39</v>
      </c>
      <c r="R157" s="1">
        <v>8</v>
      </c>
      <c r="S157" s="1">
        <v>27</v>
      </c>
    </row>
    <row r="158" spans="1:19">
      <c r="A158" s="1">
        <v>309</v>
      </c>
      <c r="B158" s="1">
        <v>345</v>
      </c>
      <c r="C158" s="16">
        <v>0.240449438</v>
      </c>
      <c r="D158" s="1">
        <v>1026</v>
      </c>
      <c r="E158" s="1">
        <v>0</v>
      </c>
      <c r="F158" s="1">
        <v>0</v>
      </c>
      <c r="G158" s="1">
        <v>3</v>
      </c>
      <c r="H158" s="1">
        <v>2</v>
      </c>
      <c r="I158" s="1">
        <v>321</v>
      </c>
      <c r="J158" s="1">
        <v>0.02</v>
      </c>
      <c r="K158" s="1">
        <v>28</v>
      </c>
      <c r="L158" s="1">
        <v>2</v>
      </c>
      <c r="M158" s="1">
        <v>1.6</v>
      </c>
      <c r="N158" s="1">
        <v>41</v>
      </c>
      <c r="O158" s="1">
        <v>1.3</v>
      </c>
      <c r="P158" s="19">
        <v>205.1282051</v>
      </c>
      <c r="Q158" s="1">
        <v>39</v>
      </c>
      <c r="R158" s="1">
        <v>8</v>
      </c>
      <c r="S158" s="1">
        <v>21</v>
      </c>
    </row>
    <row r="159" spans="1:19">
      <c r="A159" s="1">
        <v>309</v>
      </c>
      <c r="B159" s="1">
        <v>345</v>
      </c>
      <c r="C159" s="16">
        <v>0.240449438</v>
      </c>
      <c r="D159" s="1">
        <v>1026</v>
      </c>
      <c r="E159" s="1">
        <v>0</v>
      </c>
      <c r="F159" s="1">
        <v>0</v>
      </c>
      <c r="G159" s="1">
        <v>3</v>
      </c>
      <c r="H159" s="1">
        <v>2</v>
      </c>
      <c r="I159" s="1">
        <v>321</v>
      </c>
      <c r="J159" s="1">
        <v>0.02</v>
      </c>
      <c r="K159" s="1">
        <v>1</v>
      </c>
      <c r="L159" s="1">
        <v>3</v>
      </c>
      <c r="M159" s="1">
        <v>1.6</v>
      </c>
      <c r="N159" s="1">
        <v>41</v>
      </c>
      <c r="O159" s="1">
        <v>1.3</v>
      </c>
      <c r="P159" s="19">
        <v>205.1282051</v>
      </c>
      <c r="Q159" s="1">
        <v>39</v>
      </c>
      <c r="R159" s="1">
        <v>8</v>
      </c>
      <c r="S159" s="1">
        <v>11</v>
      </c>
    </row>
    <row r="160" spans="1:19">
      <c r="A160" s="1">
        <v>309</v>
      </c>
      <c r="B160" s="1">
        <v>345</v>
      </c>
      <c r="C160" s="16">
        <v>0.240449438</v>
      </c>
      <c r="D160" s="1">
        <v>1026</v>
      </c>
      <c r="E160" s="1">
        <v>0</v>
      </c>
      <c r="F160" s="1">
        <v>0</v>
      </c>
      <c r="G160" s="1">
        <v>3</v>
      </c>
      <c r="H160" s="1">
        <v>2</v>
      </c>
      <c r="I160" s="1">
        <v>321</v>
      </c>
      <c r="J160" s="1">
        <v>0.02</v>
      </c>
      <c r="K160" s="1">
        <v>1</v>
      </c>
      <c r="L160" s="1">
        <v>3</v>
      </c>
      <c r="M160" s="1">
        <v>1.6</v>
      </c>
      <c r="N160" s="1">
        <v>41</v>
      </c>
      <c r="O160" s="1">
        <v>1.3</v>
      </c>
      <c r="P160" s="19">
        <v>205.1282051</v>
      </c>
      <c r="Q160" s="1">
        <v>39</v>
      </c>
      <c r="R160" s="1">
        <v>8</v>
      </c>
      <c r="S160" s="1">
        <v>10</v>
      </c>
    </row>
    <row r="161" spans="1:19">
      <c r="A161" s="1">
        <v>309</v>
      </c>
      <c r="B161" s="1">
        <v>345</v>
      </c>
      <c r="C161" s="16">
        <v>0.240449438</v>
      </c>
      <c r="D161" s="1">
        <v>1026</v>
      </c>
      <c r="E161" s="1">
        <v>0</v>
      </c>
      <c r="F161" s="1">
        <v>0</v>
      </c>
      <c r="G161" s="1">
        <v>3</v>
      </c>
      <c r="H161" s="1">
        <v>2</v>
      </c>
      <c r="I161" s="1">
        <v>321</v>
      </c>
      <c r="J161" s="1">
        <v>0.02</v>
      </c>
      <c r="K161" s="1">
        <v>1</v>
      </c>
      <c r="L161" s="1">
        <v>3</v>
      </c>
      <c r="M161" s="1">
        <v>1.6</v>
      </c>
      <c r="N161" s="1">
        <v>41</v>
      </c>
      <c r="O161" s="1">
        <v>1.3</v>
      </c>
      <c r="P161" s="19">
        <v>205.1282051</v>
      </c>
      <c r="Q161" s="1">
        <v>39</v>
      </c>
      <c r="R161" s="1">
        <v>8</v>
      </c>
      <c r="S161" s="1">
        <v>9.5</v>
      </c>
    </row>
    <row r="162" spans="1:19">
      <c r="A162" s="1">
        <v>309</v>
      </c>
      <c r="B162" s="1">
        <v>345</v>
      </c>
      <c r="C162" s="16">
        <v>0.240449438</v>
      </c>
      <c r="D162" s="1">
        <v>1026</v>
      </c>
      <c r="E162" s="1">
        <v>0</v>
      </c>
      <c r="F162" s="1">
        <v>0</v>
      </c>
      <c r="G162" s="1">
        <v>3</v>
      </c>
      <c r="H162" s="1">
        <v>2</v>
      </c>
      <c r="I162" s="1">
        <v>321</v>
      </c>
      <c r="J162" s="1">
        <v>0.02</v>
      </c>
      <c r="K162" s="1">
        <v>3</v>
      </c>
      <c r="L162" s="1">
        <v>3</v>
      </c>
      <c r="M162" s="1">
        <v>1.6</v>
      </c>
      <c r="N162" s="1">
        <v>41</v>
      </c>
      <c r="O162" s="1">
        <v>1.3</v>
      </c>
      <c r="P162" s="19">
        <v>205.1282051</v>
      </c>
      <c r="Q162" s="1">
        <v>39</v>
      </c>
      <c r="R162" s="1">
        <v>8</v>
      </c>
      <c r="S162" s="1">
        <v>18</v>
      </c>
    </row>
    <row r="163" spans="1:19">
      <c r="A163" s="1">
        <v>309</v>
      </c>
      <c r="B163" s="1">
        <v>345</v>
      </c>
      <c r="C163" s="16">
        <v>0.240449438</v>
      </c>
      <c r="D163" s="1">
        <v>1026</v>
      </c>
      <c r="E163" s="1">
        <v>0</v>
      </c>
      <c r="F163" s="1">
        <v>0</v>
      </c>
      <c r="G163" s="1">
        <v>3</v>
      </c>
      <c r="H163" s="1">
        <v>2</v>
      </c>
      <c r="I163" s="1">
        <v>321</v>
      </c>
      <c r="J163" s="1">
        <v>0.02</v>
      </c>
      <c r="K163" s="1">
        <v>3</v>
      </c>
      <c r="L163" s="1">
        <v>3</v>
      </c>
      <c r="M163" s="1">
        <v>1.6</v>
      </c>
      <c r="N163" s="1">
        <v>41</v>
      </c>
      <c r="O163" s="1">
        <v>1.3</v>
      </c>
      <c r="P163" s="19">
        <v>205.1282051</v>
      </c>
      <c r="Q163" s="1">
        <v>39</v>
      </c>
      <c r="R163" s="1">
        <v>8</v>
      </c>
      <c r="S163" s="1">
        <v>17</v>
      </c>
    </row>
    <row r="164" spans="1:19">
      <c r="A164" s="1">
        <v>309</v>
      </c>
      <c r="B164" s="1">
        <v>345</v>
      </c>
      <c r="C164" s="16">
        <v>0.240449438</v>
      </c>
      <c r="D164" s="1">
        <v>1026</v>
      </c>
      <c r="E164" s="1">
        <v>0</v>
      </c>
      <c r="F164" s="1">
        <v>0</v>
      </c>
      <c r="G164" s="1">
        <v>3</v>
      </c>
      <c r="H164" s="1">
        <v>2</v>
      </c>
      <c r="I164" s="1">
        <v>321</v>
      </c>
      <c r="J164" s="1">
        <v>0.02</v>
      </c>
      <c r="K164" s="1">
        <v>3</v>
      </c>
      <c r="L164" s="1">
        <v>3</v>
      </c>
      <c r="M164" s="1">
        <v>1.6</v>
      </c>
      <c r="N164" s="1">
        <v>41</v>
      </c>
      <c r="O164" s="1">
        <v>1.3</v>
      </c>
      <c r="P164" s="19">
        <v>205.1282051</v>
      </c>
      <c r="Q164" s="1">
        <v>39</v>
      </c>
      <c r="R164" s="1">
        <v>8</v>
      </c>
      <c r="S164" s="1">
        <v>16.4</v>
      </c>
    </row>
    <row r="165" spans="1:19">
      <c r="A165" s="1">
        <v>309</v>
      </c>
      <c r="B165" s="1">
        <v>345</v>
      </c>
      <c r="C165" s="16">
        <v>0.240449438</v>
      </c>
      <c r="D165" s="1">
        <v>1026</v>
      </c>
      <c r="E165" s="1">
        <v>0</v>
      </c>
      <c r="F165" s="1">
        <v>0</v>
      </c>
      <c r="G165" s="1">
        <v>3</v>
      </c>
      <c r="H165" s="1">
        <v>2</v>
      </c>
      <c r="I165" s="1">
        <v>321</v>
      </c>
      <c r="J165" s="1">
        <v>0.02</v>
      </c>
      <c r="K165" s="1">
        <v>7</v>
      </c>
      <c r="L165" s="1">
        <v>3</v>
      </c>
      <c r="M165" s="1">
        <v>1.6</v>
      </c>
      <c r="N165" s="1">
        <v>41</v>
      </c>
      <c r="O165" s="1">
        <v>1.3</v>
      </c>
      <c r="P165" s="19">
        <v>205.1282051</v>
      </c>
      <c r="Q165" s="1">
        <v>39</v>
      </c>
      <c r="R165" s="1">
        <v>8</v>
      </c>
      <c r="S165" s="1">
        <v>24</v>
      </c>
    </row>
    <row r="166" spans="1:19">
      <c r="A166" s="1">
        <v>309</v>
      </c>
      <c r="B166" s="1">
        <v>345</v>
      </c>
      <c r="C166" s="16">
        <v>0.240449438</v>
      </c>
      <c r="D166" s="1">
        <v>1026</v>
      </c>
      <c r="E166" s="1">
        <v>0</v>
      </c>
      <c r="F166" s="1">
        <v>0</v>
      </c>
      <c r="G166" s="1">
        <v>3</v>
      </c>
      <c r="H166" s="1">
        <v>2</v>
      </c>
      <c r="I166" s="1">
        <v>321</v>
      </c>
      <c r="J166" s="1">
        <v>0.02</v>
      </c>
      <c r="K166" s="1">
        <v>7</v>
      </c>
      <c r="L166" s="1">
        <v>3</v>
      </c>
      <c r="M166" s="1">
        <v>1.6</v>
      </c>
      <c r="N166" s="1">
        <v>41</v>
      </c>
      <c r="O166" s="1">
        <v>1.3</v>
      </c>
      <c r="P166" s="19">
        <v>205.1282051</v>
      </c>
      <c r="Q166" s="1">
        <v>39</v>
      </c>
      <c r="R166" s="1">
        <v>8</v>
      </c>
      <c r="S166" s="1">
        <v>25</v>
      </c>
    </row>
    <row r="167" spans="1:19">
      <c r="A167" s="1">
        <v>309</v>
      </c>
      <c r="B167" s="1">
        <v>345</v>
      </c>
      <c r="C167" s="16">
        <v>0.240449438</v>
      </c>
      <c r="D167" s="1">
        <v>1026</v>
      </c>
      <c r="E167" s="1">
        <v>0</v>
      </c>
      <c r="F167" s="1">
        <v>0</v>
      </c>
      <c r="G167" s="1">
        <v>3</v>
      </c>
      <c r="H167" s="1">
        <v>2</v>
      </c>
      <c r="I167" s="1">
        <v>321</v>
      </c>
      <c r="J167" s="1">
        <v>0.02</v>
      </c>
      <c r="K167" s="1">
        <v>7</v>
      </c>
      <c r="L167" s="1">
        <v>3</v>
      </c>
      <c r="M167" s="1">
        <v>1.6</v>
      </c>
      <c r="N167" s="1">
        <v>41</v>
      </c>
      <c r="O167" s="1">
        <v>1.3</v>
      </c>
      <c r="P167" s="19">
        <v>205.1282051</v>
      </c>
      <c r="Q167" s="1">
        <v>39</v>
      </c>
      <c r="R167" s="1">
        <v>8</v>
      </c>
      <c r="S167" s="1">
        <v>25.9</v>
      </c>
    </row>
    <row r="168" spans="1:19">
      <c r="A168" s="1">
        <v>309</v>
      </c>
      <c r="B168" s="1">
        <v>345</v>
      </c>
      <c r="C168" s="16">
        <v>0.240449438</v>
      </c>
      <c r="D168" s="1">
        <v>1026</v>
      </c>
      <c r="E168" s="1">
        <v>0</v>
      </c>
      <c r="F168" s="1">
        <v>0</v>
      </c>
      <c r="G168" s="1">
        <v>3</v>
      </c>
      <c r="H168" s="1">
        <v>2</v>
      </c>
      <c r="I168" s="1">
        <v>321</v>
      </c>
      <c r="J168" s="1">
        <v>0.02</v>
      </c>
      <c r="K168" s="1">
        <v>28</v>
      </c>
      <c r="L168" s="1">
        <v>3</v>
      </c>
      <c r="M168" s="1">
        <v>1.6</v>
      </c>
      <c r="N168" s="1">
        <v>41</v>
      </c>
      <c r="O168" s="1">
        <v>1.3</v>
      </c>
      <c r="P168" s="19">
        <v>205.1282051</v>
      </c>
      <c r="Q168" s="1">
        <v>39</v>
      </c>
      <c r="R168" s="1">
        <v>8</v>
      </c>
      <c r="S168" s="1">
        <v>29</v>
      </c>
    </row>
    <row r="169" spans="1:19">
      <c r="A169" s="1">
        <v>309</v>
      </c>
      <c r="B169" s="1">
        <v>345</v>
      </c>
      <c r="C169" s="16">
        <v>0.240449438</v>
      </c>
      <c r="D169" s="1">
        <v>1026</v>
      </c>
      <c r="E169" s="1">
        <v>0</v>
      </c>
      <c r="F169" s="1">
        <v>0</v>
      </c>
      <c r="G169" s="1">
        <v>3</v>
      </c>
      <c r="H169" s="1">
        <v>2</v>
      </c>
      <c r="I169" s="1">
        <v>321</v>
      </c>
      <c r="J169" s="1">
        <v>0.02</v>
      </c>
      <c r="K169" s="1">
        <v>28</v>
      </c>
      <c r="L169" s="1">
        <v>3</v>
      </c>
      <c r="M169" s="1">
        <v>1.6</v>
      </c>
      <c r="N169" s="1">
        <v>41</v>
      </c>
      <c r="O169" s="1">
        <v>1.3</v>
      </c>
      <c r="P169" s="19">
        <v>205.1282051</v>
      </c>
      <c r="Q169" s="1">
        <v>39</v>
      </c>
      <c r="R169" s="1">
        <v>8</v>
      </c>
      <c r="S169" s="1">
        <v>27.2</v>
      </c>
    </row>
    <row r="170" spans="1:19">
      <c r="A170" s="1">
        <v>309</v>
      </c>
      <c r="B170" s="1">
        <v>345</v>
      </c>
      <c r="C170" s="16">
        <v>0.240449438</v>
      </c>
      <c r="D170" s="1">
        <v>1026</v>
      </c>
      <c r="E170" s="1">
        <v>0</v>
      </c>
      <c r="F170" s="1">
        <v>0</v>
      </c>
      <c r="G170" s="1">
        <v>3</v>
      </c>
      <c r="H170" s="1">
        <v>2</v>
      </c>
      <c r="I170" s="1">
        <v>321</v>
      </c>
      <c r="J170" s="1">
        <v>0.02</v>
      </c>
      <c r="K170" s="1">
        <v>28</v>
      </c>
      <c r="L170" s="1">
        <v>3</v>
      </c>
      <c r="M170" s="1">
        <v>1.6</v>
      </c>
      <c r="N170" s="1">
        <v>41</v>
      </c>
      <c r="O170" s="1">
        <v>1.3</v>
      </c>
      <c r="P170" s="19">
        <v>205.1282051</v>
      </c>
      <c r="Q170" s="1">
        <v>39</v>
      </c>
      <c r="R170" s="1">
        <v>8</v>
      </c>
      <c r="S170" s="1">
        <v>26.3</v>
      </c>
    </row>
    <row r="171" spans="1:19">
      <c r="A171" s="1">
        <v>309</v>
      </c>
      <c r="B171" s="1">
        <v>345</v>
      </c>
      <c r="C171" s="16">
        <v>0.240449438</v>
      </c>
      <c r="D171" s="1">
        <v>1026</v>
      </c>
      <c r="E171" s="1">
        <v>0</v>
      </c>
      <c r="F171" s="1">
        <v>0</v>
      </c>
      <c r="G171" s="1">
        <v>3</v>
      </c>
      <c r="H171" s="1">
        <v>2</v>
      </c>
      <c r="I171" s="1">
        <v>321</v>
      </c>
      <c r="J171" s="1">
        <v>0.02</v>
      </c>
      <c r="K171" s="1">
        <v>1</v>
      </c>
      <c r="L171" s="1">
        <v>2</v>
      </c>
      <c r="M171" s="1">
        <v>1.6</v>
      </c>
      <c r="N171" s="1">
        <v>41</v>
      </c>
      <c r="O171" s="1">
        <v>1.3</v>
      </c>
      <c r="P171" s="19">
        <v>205.1282051</v>
      </c>
      <c r="Q171" s="1">
        <v>39</v>
      </c>
      <c r="R171" s="1">
        <v>8</v>
      </c>
      <c r="S171" s="1">
        <v>9</v>
      </c>
    </row>
    <row r="172" spans="1:19">
      <c r="A172" s="1">
        <v>309</v>
      </c>
      <c r="B172" s="1">
        <v>345</v>
      </c>
      <c r="C172" s="16">
        <v>0.240449438</v>
      </c>
      <c r="D172" s="1">
        <v>1026</v>
      </c>
      <c r="E172" s="1">
        <v>0</v>
      </c>
      <c r="F172" s="1">
        <v>0</v>
      </c>
      <c r="G172" s="1">
        <v>3</v>
      </c>
      <c r="H172" s="1">
        <v>2</v>
      </c>
      <c r="I172" s="1">
        <v>321</v>
      </c>
      <c r="J172" s="1">
        <v>0.02</v>
      </c>
      <c r="K172" s="1">
        <v>1</v>
      </c>
      <c r="L172" s="1">
        <v>2</v>
      </c>
      <c r="M172" s="1">
        <v>1.6</v>
      </c>
      <c r="N172" s="1">
        <v>41</v>
      </c>
      <c r="O172" s="1">
        <v>1.3</v>
      </c>
      <c r="P172" s="19">
        <v>205.1282051</v>
      </c>
      <c r="Q172" s="1">
        <v>39</v>
      </c>
      <c r="R172" s="1">
        <v>8</v>
      </c>
      <c r="S172" s="1">
        <v>8.5</v>
      </c>
    </row>
    <row r="173" spans="1:19">
      <c r="A173" s="1">
        <v>309</v>
      </c>
      <c r="B173" s="1">
        <v>345</v>
      </c>
      <c r="C173" s="16">
        <v>0.240449438</v>
      </c>
      <c r="D173" s="1">
        <v>1026</v>
      </c>
      <c r="E173" s="1">
        <v>0</v>
      </c>
      <c r="F173" s="1">
        <v>0</v>
      </c>
      <c r="G173" s="1">
        <v>3</v>
      </c>
      <c r="H173" s="1">
        <v>2</v>
      </c>
      <c r="I173" s="1">
        <v>321</v>
      </c>
      <c r="J173" s="1">
        <v>0.02</v>
      </c>
      <c r="K173" s="1">
        <v>1</v>
      </c>
      <c r="L173" s="1">
        <v>2</v>
      </c>
      <c r="M173" s="1">
        <v>1.6</v>
      </c>
      <c r="N173" s="1">
        <v>41</v>
      </c>
      <c r="O173" s="1">
        <v>1.3</v>
      </c>
      <c r="P173" s="19">
        <v>205.1282051</v>
      </c>
      <c r="Q173" s="1">
        <v>39</v>
      </c>
      <c r="R173" s="1">
        <v>8</v>
      </c>
      <c r="S173" s="1">
        <v>9.4</v>
      </c>
    </row>
    <row r="174" spans="1:19">
      <c r="A174" s="1">
        <v>309</v>
      </c>
      <c r="B174" s="1">
        <v>345</v>
      </c>
      <c r="C174" s="16">
        <v>0.240449438</v>
      </c>
      <c r="D174" s="1">
        <v>1026</v>
      </c>
      <c r="E174" s="1">
        <v>0</v>
      </c>
      <c r="F174" s="1">
        <v>0</v>
      </c>
      <c r="G174" s="1">
        <v>3</v>
      </c>
      <c r="H174" s="1">
        <v>2</v>
      </c>
      <c r="I174" s="1">
        <v>321</v>
      </c>
      <c r="J174" s="1">
        <v>0.02</v>
      </c>
      <c r="K174" s="1">
        <v>3</v>
      </c>
      <c r="L174" s="1">
        <v>2</v>
      </c>
      <c r="M174" s="1">
        <v>1.6</v>
      </c>
      <c r="N174" s="1">
        <v>41</v>
      </c>
      <c r="O174" s="1">
        <v>1.3</v>
      </c>
      <c r="P174" s="19">
        <v>205.1282051</v>
      </c>
      <c r="Q174" s="1">
        <v>39</v>
      </c>
      <c r="R174" s="1">
        <v>8</v>
      </c>
      <c r="S174" s="1">
        <v>15</v>
      </c>
    </row>
    <row r="175" spans="1:19">
      <c r="A175" s="1">
        <v>309</v>
      </c>
      <c r="B175" s="1">
        <v>345</v>
      </c>
      <c r="C175" s="16">
        <v>0.240449438</v>
      </c>
      <c r="D175" s="1">
        <v>1026</v>
      </c>
      <c r="E175" s="1">
        <v>0</v>
      </c>
      <c r="F175" s="1">
        <v>0</v>
      </c>
      <c r="G175" s="1">
        <v>3</v>
      </c>
      <c r="H175" s="1">
        <v>2</v>
      </c>
      <c r="I175" s="1">
        <v>321</v>
      </c>
      <c r="J175" s="1">
        <v>0.02</v>
      </c>
      <c r="K175" s="1">
        <v>3</v>
      </c>
      <c r="L175" s="1">
        <v>2</v>
      </c>
      <c r="M175" s="1">
        <v>1.6</v>
      </c>
      <c r="N175" s="1">
        <v>41</v>
      </c>
      <c r="O175" s="1">
        <v>1.3</v>
      </c>
      <c r="P175" s="19">
        <v>205.1282051</v>
      </c>
      <c r="Q175" s="1">
        <v>39</v>
      </c>
      <c r="R175" s="1">
        <v>8</v>
      </c>
      <c r="S175" s="1">
        <v>15.8</v>
      </c>
    </row>
    <row r="176" spans="1:19">
      <c r="A176" s="1">
        <v>309</v>
      </c>
      <c r="B176" s="1">
        <v>345</v>
      </c>
      <c r="C176" s="16">
        <v>0.240449438</v>
      </c>
      <c r="D176" s="1">
        <v>1026</v>
      </c>
      <c r="E176" s="1">
        <v>0</v>
      </c>
      <c r="F176" s="1">
        <v>0</v>
      </c>
      <c r="G176" s="1">
        <v>3</v>
      </c>
      <c r="H176" s="1">
        <v>2</v>
      </c>
      <c r="I176" s="1">
        <v>321</v>
      </c>
      <c r="J176" s="1">
        <v>0.02</v>
      </c>
      <c r="K176" s="1">
        <v>3</v>
      </c>
      <c r="L176" s="1">
        <v>2</v>
      </c>
      <c r="M176" s="1">
        <v>1.6</v>
      </c>
      <c r="N176" s="1">
        <v>41</v>
      </c>
      <c r="O176" s="1">
        <v>1.3</v>
      </c>
      <c r="P176" s="19">
        <v>205.1282051</v>
      </c>
      <c r="Q176" s="1">
        <v>39</v>
      </c>
      <c r="R176" s="1">
        <v>8</v>
      </c>
      <c r="S176" s="1">
        <v>14</v>
      </c>
    </row>
    <row r="177" spans="1:19">
      <c r="A177" s="1">
        <v>309</v>
      </c>
      <c r="B177" s="1">
        <v>345</v>
      </c>
      <c r="C177" s="16">
        <v>0.240449438</v>
      </c>
      <c r="D177" s="1">
        <v>1026</v>
      </c>
      <c r="E177" s="1">
        <v>0</v>
      </c>
      <c r="F177" s="1">
        <v>0</v>
      </c>
      <c r="G177" s="1">
        <v>3</v>
      </c>
      <c r="H177" s="1">
        <v>2</v>
      </c>
      <c r="I177" s="1">
        <v>321</v>
      </c>
      <c r="J177" s="1">
        <v>0.02</v>
      </c>
      <c r="K177" s="1">
        <v>7</v>
      </c>
      <c r="L177" s="1">
        <v>2</v>
      </c>
      <c r="M177" s="1">
        <v>1.6</v>
      </c>
      <c r="N177" s="1">
        <v>41</v>
      </c>
      <c r="O177" s="1">
        <v>1.3</v>
      </c>
      <c r="P177" s="19">
        <v>205.1282051</v>
      </c>
      <c r="Q177" s="1">
        <v>39</v>
      </c>
      <c r="R177" s="1">
        <v>8</v>
      </c>
      <c r="S177" s="1">
        <v>18.2</v>
      </c>
    </row>
    <row r="178" spans="1:19">
      <c r="A178" s="1">
        <v>309</v>
      </c>
      <c r="B178" s="1">
        <v>345</v>
      </c>
      <c r="C178" s="16">
        <v>0.240449438</v>
      </c>
      <c r="D178" s="1">
        <v>1026</v>
      </c>
      <c r="E178" s="1">
        <v>0</v>
      </c>
      <c r="F178" s="1">
        <v>0</v>
      </c>
      <c r="G178" s="1">
        <v>3</v>
      </c>
      <c r="H178" s="1">
        <v>2</v>
      </c>
      <c r="I178" s="1">
        <v>321</v>
      </c>
      <c r="J178" s="1">
        <v>0.02</v>
      </c>
      <c r="K178" s="1">
        <v>7</v>
      </c>
      <c r="L178" s="1">
        <v>2</v>
      </c>
      <c r="M178" s="1">
        <v>1.6</v>
      </c>
      <c r="N178" s="1">
        <v>41</v>
      </c>
      <c r="O178" s="1">
        <v>1.3</v>
      </c>
      <c r="P178" s="19">
        <v>205.1282051</v>
      </c>
      <c r="Q178" s="1">
        <v>39</v>
      </c>
      <c r="R178" s="1">
        <v>8</v>
      </c>
      <c r="S178" s="1">
        <v>21</v>
      </c>
    </row>
    <row r="179" spans="1:19">
      <c r="A179" s="1">
        <v>309</v>
      </c>
      <c r="B179" s="1">
        <v>345</v>
      </c>
      <c r="C179" s="16">
        <v>0.240449438</v>
      </c>
      <c r="D179" s="1">
        <v>1026</v>
      </c>
      <c r="E179" s="1">
        <v>0</v>
      </c>
      <c r="F179" s="1">
        <v>0</v>
      </c>
      <c r="G179" s="1">
        <v>3</v>
      </c>
      <c r="H179" s="1">
        <v>2</v>
      </c>
      <c r="I179" s="1">
        <v>321</v>
      </c>
      <c r="J179" s="1">
        <v>0.02</v>
      </c>
      <c r="K179" s="1">
        <v>7</v>
      </c>
      <c r="L179" s="1">
        <v>2</v>
      </c>
      <c r="M179" s="1">
        <v>1.6</v>
      </c>
      <c r="N179" s="1">
        <v>41</v>
      </c>
      <c r="O179" s="1">
        <v>1.3</v>
      </c>
      <c r="P179" s="19">
        <v>205.1282051</v>
      </c>
      <c r="Q179" s="1">
        <v>39</v>
      </c>
      <c r="R179" s="1">
        <v>8</v>
      </c>
      <c r="S179" s="1">
        <v>16.4</v>
      </c>
    </row>
    <row r="180" spans="1:19">
      <c r="A180" s="1">
        <v>309</v>
      </c>
      <c r="B180" s="1">
        <v>345</v>
      </c>
      <c r="C180" s="16">
        <v>0.240449438</v>
      </c>
      <c r="D180" s="1">
        <v>1026</v>
      </c>
      <c r="E180" s="1">
        <v>0</v>
      </c>
      <c r="F180" s="1">
        <v>0</v>
      </c>
      <c r="G180" s="1">
        <v>3</v>
      </c>
      <c r="H180" s="1">
        <v>2</v>
      </c>
      <c r="I180" s="1">
        <v>321</v>
      </c>
      <c r="J180" s="1">
        <v>0.02</v>
      </c>
      <c r="K180" s="1">
        <v>28</v>
      </c>
      <c r="L180" s="1">
        <v>2</v>
      </c>
      <c r="M180" s="1">
        <v>1.6</v>
      </c>
      <c r="N180" s="1">
        <v>41</v>
      </c>
      <c r="O180" s="1">
        <v>1.3</v>
      </c>
      <c r="P180" s="19">
        <v>205.1282051</v>
      </c>
      <c r="Q180" s="1">
        <v>39</v>
      </c>
      <c r="R180" s="1">
        <v>8</v>
      </c>
      <c r="S180" s="1">
        <v>21.2</v>
      </c>
    </row>
    <row r="181" spans="1:19">
      <c r="A181" s="1">
        <v>309</v>
      </c>
      <c r="B181" s="1">
        <v>345</v>
      </c>
      <c r="C181" s="16">
        <v>0.240449438</v>
      </c>
      <c r="D181" s="1">
        <v>1026</v>
      </c>
      <c r="E181" s="1">
        <v>0</v>
      </c>
      <c r="F181" s="1">
        <v>0</v>
      </c>
      <c r="G181" s="1">
        <v>3</v>
      </c>
      <c r="H181" s="1">
        <v>2</v>
      </c>
      <c r="I181" s="1">
        <v>321</v>
      </c>
      <c r="J181" s="1">
        <v>0.02</v>
      </c>
      <c r="K181" s="1">
        <v>28</v>
      </c>
      <c r="L181" s="1">
        <v>2</v>
      </c>
      <c r="M181" s="1">
        <v>1.6</v>
      </c>
      <c r="N181" s="1">
        <v>41</v>
      </c>
      <c r="O181" s="1">
        <v>1.3</v>
      </c>
      <c r="P181" s="19">
        <v>205.1282051</v>
      </c>
      <c r="Q181" s="1">
        <v>39</v>
      </c>
      <c r="R181" s="1">
        <v>8</v>
      </c>
      <c r="S181" s="1">
        <v>20.4</v>
      </c>
    </row>
    <row r="182" spans="1:19">
      <c r="A182" s="1">
        <v>309</v>
      </c>
      <c r="B182" s="1">
        <v>345</v>
      </c>
      <c r="C182" s="16">
        <v>0.240449438</v>
      </c>
      <c r="D182" s="1">
        <v>1026</v>
      </c>
      <c r="E182" s="1">
        <v>0</v>
      </c>
      <c r="F182" s="1">
        <v>0</v>
      </c>
      <c r="G182" s="1">
        <v>3</v>
      </c>
      <c r="H182" s="1">
        <v>2</v>
      </c>
      <c r="I182" s="1">
        <v>321</v>
      </c>
      <c r="J182" s="1">
        <v>0.02</v>
      </c>
      <c r="K182" s="1">
        <v>28</v>
      </c>
      <c r="L182" s="1">
        <v>2</v>
      </c>
      <c r="M182" s="1">
        <v>1.6</v>
      </c>
      <c r="N182" s="1">
        <v>41</v>
      </c>
      <c r="O182" s="1">
        <v>1.3</v>
      </c>
      <c r="P182" s="19">
        <v>205.1282051</v>
      </c>
      <c r="Q182" s="1">
        <v>39</v>
      </c>
      <c r="R182" s="1">
        <v>8</v>
      </c>
      <c r="S182" s="1">
        <v>19.5</v>
      </c>
    </row>
    <row r="183" spans="1:19">
      <c r="A183" s="1">
        <v>483</v>
      </c>
      <c r="B183" s="1">
        <v>1074</v>
      </c>
      <c r="C183" s="16">
        <v>0.169617894</v>
      </c>
      <c r="D183" s="1">
        <v>0</v>
      </c>
      <c r="E183" s="1">
        <v>322</v>
      </c>
      <c r="F183" s="1">
        <v>268</v>
      </c>
      <c r="G183" s="1">
        <v>0</v>
      </c>
      <c r="H183" s="1">
        <v>0</v>
      </c>
      <c r="I183" s="1">
        <v>182</v>
      </c>
      <c r="J183" s="1">
        <v>0</v>
      </c>
      <c r="K183" s="1">
        <v>28</v>
      </c>
      <c r="L183" s="1">
        <v>1</v>
      </c>
      <c r="M183" s="1">
        <v>1.6</v>
      </c>
      <c r="N183" s="1">
        <v>41</v>
      </c>
      <c r="O183" s="1">
        <v>1.3</v>
      </c>
      <c r="P183" s="19">
        <v>153.8461538</v>
      </c>
      <c r="Q183" s="1">
        <v>39</v>
      </c>
      <c r="R183" s="1">
        <v>6</v>
      </c>
      <c r="S183" s="1">
        <v>88</v>
      </c>
    </row>
    <row r="184" spans="1:19">
      <c r="A184" s="1">
        <v>483</v>
      </c>
      <c r="B184" s="1">
        <v>1074</v>
      </c>
      <c r="C184" s="16">
        <v>0.169617894</v>
      </c>
      <c r="D184" s="1">
        <v>0</v>
      </c>
      <c r="E184" s="1">
        <v>322</v>
      </c>
      <c r="F184" s="1">
        <v>268</v>
      </c>
      <c r="G184" s="1">
        <v>0</v>
      </c>
      <c r="H184" s="1">
        <v>0</v>
      </c>
      <c r="I184" s="1">
        <v>182</v>
      </c>
      <c r="J184" s="1">
        <v>0.0025</v>
      </c>
      <c r="K184" s="1">
        <v>28</v>
      </c>
      <c r="L184" s="1">
        <v>1</v>
      </c>
      <c r="M184" s="1">
        <v>1.6</v>
      </c>
      <c r="N184" s="1">
        <v>41</v>
      </c>
      <c r="O184" s="1">
        <v>1.3</v>
      </c>
      <c r="P184" s="19">
        <v>153.8461538</v>
      </c>
      <c r="Q184" s="1">
        <v>39</v>
      </c>
      <c r="R184" s="1">
        <v>6</v>
      </c>
      <c r="S184" s="1">
        <v>92</v>
      </c>
    </row>
    <row r="185" spans="1:19">
      <c r="A185" s="1">
        <v>483</v>
      </c>
      <c r="B185" s="1">
        <v>1074</v>
      </c>
      <c r="C185" s="16">
        <v>0.169617894</v>
      </c>
      <c r="D185" s="1">
        <v>0</v>
      </c>
      <c r="E185" s="1">
        <v>322</v>
      </c>
      <c r="F185" s="1">
        <v>268</v>
      </c>
      <c r="G185" s="1">
        <v>0</v>
      </c>
      <c r="H185" s="1">
        <v>0</v>
      </c>
      <c r="I185" s="1">
        <v>182</v>
      </c>
      <c r="J185" s="1">
        <v>0.005</v>
      </c>
      <c r="K185" s="1">
        <v>28</v>
      </c>
      <c r="L185" s="1">
        <v>1</v>
      </c>
      <c r="M185" s="1">
        <v>1.6</v>
      </c>
      <c r="N185" s="1">
        <v>41</v>
      </c>
      <c r="O185" s="1">
        <v>1.3</v>
      </c>
      <c r="P185" s="19">
        <v>153.8461538</v>
      </c>
      <c r="Q185" s="1">
        <v>39</v>
      </c>
      <c r="R185" s="1">
        <v>6</v>
      </c>
      <c r="S185" s="1">
        <v>86</v>
      </c>
    </row>
    <row r="186" spans="1:19">
      <c r="A186" s="1">
        <v>483</v>
      </c>
      <c r="B186" s="1">
        <v>1074</v>
      </c>
      <c r="C186" s="16">
        <v>0.169617894</v>
      </c>
      <c r="D186" s="1">
        <v>0</v>
      </c>
      <c r="E186" s="1">
        <v>322</v>
      </c>
      <c r="F186" s="1">
        <v>268</v>
      </c>
      <c r="G186" s="1">
        <v>0</v>
      </c>
      <c r="H186" s="1">
        <v>0</v>
      </c>
      <c r="I186" s="1">
        <v>182</v>
      </c>
      <c r="J186" s="1">
        <v>0.0075</v>
      </c>
      <c r="K186" s="1">
        <v>28</v>
      </c>
      <c r="L186" s="1">
        <v>1</v>
      </c>
      <c r="M186" s="1">
        <v>1.6</v>
      </c>
      <c r="N186" s="1">
        <v>41</v>
      </c>
      <c r="O186" s="1">
        <v>1.3</v>
      </c>
      <c r="P186" s="19">
        <v>153.8461538</v>
      </c>
      <c r="Q186" s="1">
        <v>39</v>
      </c>
      <c r="R186" s="1">
        <v>6</v>
      </c>
      <c r="S186" s="1">
        <v>94.3</v>
      </c>
    </row>
    <row r="187" spans="1:19">
      <c r="A187" s="1">
        <v>483</v>
      </c>
      <c r="B187" s="1">
        <v>1074</v>
      </c>
      <c r="C187" s="16">
        <v>0.169617894</v>
      </c>
      <c r="D187" s="1">
        <v>0</v>
      </c>
      <c r="E187" s="1">
        <v>322</v>
      </c>
      <c r="F187" s="1">
        <v>268</v>
      </c>
      <c r="G187" s="1">
        <v>0</v>
      </c>
      <c r="H187" s="1">
        <v>0</v>
      </c>
      <c r="I187" s="1">
        <v>182</v>
      </c>
      <c r="J187" s="1">
        <v>0.01</v>
      </c>
      <c r="K187" s="1">
        <v>28</v>
      </c>
      <c r="L187" s="1">
        <v>1</v>
      </c>
      <c r="M187" s="1">
        <v>1.6</v>
      </c>
      <c r="N187" s="1">
        <v>41</v>
      </c>
      <c r="O187" s="1">
        <v>1.3</v>
      </c>
      <c r="P187" s="19">
        <v>153.8461538</v>
      </c>
      <c r="Q187" s="1">
        <v>39</v>
      </c>
      <c r="R187" s="1">
        <v>6</v>
      </c>
      <c r="S187" s="1">
        <v>91.2</v>
      </c>
    </row>
    <row r="188" spans="1:19">
      <c r="A188" s="1">
        <v>483</v>
      </c>
      <c r="B188" s="1">
        <v>1074</v>
      </c>
      <c r="C188" s="16">
        <v>0.169617894</v>
      </c>
      <c r="D188" s="1">
        <v>0</v>
      </c>
      <c r="E188" s="1">
        <v>322</v>
      </c>
      <c r="F188" s="1">
        <v>268</v>
      </c>
      <c r="G188" s="1">
        <v>0</v>
      </c>
      <c r="H188" s="1">
        <v>0</v>
      </c>
      <c r="I188" s="1">
        <v>182</v>
      </c>
      <c r="J188" s="1">
        <v>0</v>
      </c>
      <c r="K188" s="1">
        <v>28</v>
      </c>
      <c r="L188" s="1">
        <v>2</v>
      </c>
      <c r="M188" s="1">
        <v>1.6</v>
      </c>
      <c r="N188" s="1">
        <v>41</v>
      </c>
      <c r="O188" s="1">
        <v>1.3</v>
      </c>
      <c r="P188" s="19">
        <v>153.8461538</v>
      </c>
      <c r="Q188" s="1">
        <v>39</v>
      </c>
      <c r="R188" s="1">
        <v>6</v>
      </c>
      <c r="S188" s="1">
        <v>90.1</v>
      </c>
    </row>
    <row r="189" spans="1:19">
      <c r="A189" s="1">
        <v>483</v>
      </c>
      <c r="B189" s="1">
        <v>1074</v>
      </c>
      <c r="C189" s="16">
        <v>0.169617894</v>
      </c>
      <c r="D189" s="1">
        <v>0</v>
      </c>
      <c r="E189" s="1">
        <v>322</v>
      </c>
      <c r="F189" s="1">
        <v>268</v>
      </c>
      <c r="G189" s="1">
        <v>0</v>
      </c>
      <c r="H189" s="1">
        <v>0</v>
      </c>
      <c r="I189" s="1">
        <v>182</v>
      </c>
      <c r="J189" s="1">
        <v>0.0025</v>
      </c>
      <c r="K189" s="1">
        <v>28</v>
      </c>
      <c r="L189" s="1">
        <v>2</v>
      </c>
      <c r="M189" s="1">
        <v>1.6</v>
      </c>
      <c r="N189" s="1">
        <v>41</v>
      </c>
      <c r="O189" s="1">
        <v>1.3</v>
      </c>
      <c r="P189" s="19">
        <v>153.8461538</v>
      </c>
      <c r="Q189" s="1">
        <v>39</v>
      </c>
      <c r="R189" s="1">
        <v>6</v>
      </c>
      <c r="S189" s="1">
        <v>89.3</v>
      </c>
    </row>
    <row r="190" spans="1:19">
      <c r="A190" s="1">
        <v>483</v>
      </c>
      <c r="B190" s="1">
        <v>1074</v>
      </c>
      <c r="C190" s="16">
        <v>0.169617894</v>
      </c>
      <c r="D190" s="1">
        <v>0</v>
      </c>
      <c r="E190" s="1">
        <v>322</v>
      </c>
      <c r="F190" s="1">
        <v>268</v>
      </c>
      <c r="G190" s="1">
        <v>0</v>
      </c>
      <c r="H190" s="1">
        <v>0</v>
      </c>
      <c r="I190" s="1">
        <v>182</v>
      </c>
      <c r="J190" s="1">
        <v>0.005</v>
      </c>
      <c r="K190" s="1">
        <v>28</v>
      </c>
      <c r="L190" s="1">
        <v>2</v>
      </c>
      <c r="M190" s="1">
        <v>1.6</v>
      </c>
      <c r="N190" s="1">
        <v>41</v>
      </c>
      <c r="O190" s="1">
        <v>1.3</v>
      </c>
      <c r="P190" s="19">
        <v>153.8461538</v>
      </c>
      <c r="Q190" s="1">
        <v>39</v>
      </c>
      <c r="R190" s="1">
        <v>6</v>
      </c>
      <c r="S190" s="1">
        <v>74.6</v>
      </c>
    </row>
    <row r="191" spans="1:19">
      <c r="A191" s="1">
        <v>483</v>
      </c>
      <c r="B191" s="1">
        <v>1074</v>
      </c>
      <c r="C191" s="16">
        <v>0.169617894</v>
      </c>
      <c r="D191" s="1">
        <v>0</v>
      </c>
      <c r="E191" s="1">
        <v>322</v>
      </c>
      <c r="F191" s="1">
        <v>268</v>
      </c>
      <c r="G191" s="1">
        <v>0</v>
      </c>
      <c r="H191" s="1">
        <v>0</v>
      </c>
      <c r="I191" s="1">
        <v>182</v>
      </c>
      <c r="J191" s="1">
        <v>0.0075</v>
      </c>
      <c r="K191" s="1">
        <v>28</v>
      </c>
      <c r="L191" s="1">
        <v>2</v>
      </c>
      <c r="M191" s="1">
        <v>1.6</v>
      </c>
      <c r="N191" s="1">
        <v>41</v>
      </c>
      <c r="O191" s="1">
        <v>1.3</v>
      </c>
      <c r="P191" s="19">
        <v>153.8461538</v>
      </c>
      <c r="Q191" s="1">
        <v>39</v>
      </c>
      <c r="R191" s="1">
        <v>6</v>
      </c>
      <c r="S191" s="1">
        <v>75.5</v>
      </c>
    </row>
    <row r="192" spans="1:19">
      <c r="A192" s="1">
        <v>483</v>
      </c>
      <c r="B192" s="1">
        <v>1074</v>
      </c>
      <c r="C192" s="16">
        <v>0.169617894</v>
      </c>
      <c r="D192" s="1">
        <v>0</v>
      </c>
      <c r="E192" s="1">
        <v>322</v>
      </c>
      <c r="F192" s="1">
        <v>268</v>
      </c>
      <c r="G192" s="1">
        <v>0</v>
      </c>
      <c r="H192" s="1">
        <v>0</v>
      </c>
      <c r="I192" s="1">
        <v>182</v>
      </c>
      <c r="J192" s="1">
        <v>0.01</v>
      </c>
      <c r="K192" s="1">
        <v>28</v>
      </c>
      <c r="L192" s="1">
        <v>2</v>
      </c>
      <c r="M192" s="1">
        <v>1.6</v>
      </c>
      <c r="N192" s="1">
        <v>41</v>
      </c>
      <c r="O192" s="1">
        <v>1.3</v>
      </c>
      <c r="P192" s="19">
        <v>153.8461538</v>
      </c>
      <c r="Q192" s="1">
        <v>39</v>
      </c>
      <c r="R192" s="1">
        <v>6</v>
      </c>
      <c r="S192" s="1">
        <v>80.1</v>
      </c>
    </row>
    <row r="193" spans="1:19">
      <c r="A193" s="1">
        <v>483</v>
      </c>
      <c r="B193" s="1">
        <v>1074</v>
      </c>
      <c r="C193" s="16">
        <v>0.169617894</v>
      </c>
      <c r="D193" s="1">
        <v>0</v>
      </c>
      <c r="E193" s="1">
        <v>322</v>
      </c>
      <c r="F193" s="1">
        <v>268</v>
      </c>
      <c r="G193" s="1">
        <v>0</v>
      </c>
      <c r="H193" s="1">
        <v>0</v>
      </c>
      <c r="I193" s="1">
        <v>182</v>
      </c>
      <c r="J193" s="1">
        <v>0</v>
      </c>
      <c r="K193" s="1">
        <v>28</v>
      </c>
      <c r="L193" s="1">
        <v>3</v>
      </c>
      <c r="M193" s="1">
        <v>1.6</v>
      </c>
      <c r="N193" s="1">
        <v>41</v>
      </c>
      <c r="O193" s="1">
        <v>1.3</v>
      </c>
      <c r="P193" s="19">
        <v>153.8461538</v>
      </c>
      <c r="Q193" s="1">
        <v>39</v>
      </c>
      <c r="R193" s="1">
        <v>6</v>
      </c>
      <c r="S193" s="1">
        <v>96.2</v>
      </c>
    </row>
    <row r="194" spans="1:19">
      <c r="A194" s="1">
        <v>483</v>
      </c>
      <c r="B194" s="1">
        <v>1074</v>
      </c>
      <c r="C194" s="16">
        <v>0.169617894</v>
      </c>
      <c r="D194" s="1">
        <v>0</v>
      </c>
      <c r="E194" s="1">
        <v>322</v>
      </c>
      <c r="F194" s="1">
        <v>268</v>
      </c>
      <c r="G194" s="1">
        <v>0</v>
      </c>
      <c r="H194" s="1">
        <v>0</v>
      </c>
      <c r="I194" s="1">
        <v>182</v>
      </c>
      <c r="J194" s="1">
        <v>0.0025</v>
      </c>
      <c r="K194" s="1">
        <v>28</v>
      </c>
      <c r="L194" s="1">
        <v>3</v>
      </c>
      <c r="M194" s="1">
        <v>1.6</v>
      </c>
      <c r="N194" s="1">
        <v>41</v>
      </c>
      <c r="O194" s="1">
        <v>1.3</v>
      </c>
      <c r="P194" s="19">
        <v>153.8461538</v>
      </c>
      <c r="Q194" s="1">
        <v>39</v>
      </c>
      <c r="R194" s="1">
        <v>6</v>
      </c>
      <c r="S194" s="1">
        <v>75.1</v>
      </c>
    </row>
    <row r="195" spans="1:19">
      <c r="A195" s="1">
        <v>483</v>
      </c>
      <c r="B195" s="1">
        <v>1074</v>
      </c>
      <c r="C195" s="16">
        <v>0.169617894</v>
      </c>
      <c r="D195" s="1">
        <v>0</v>
      </c>
      <c r="E195" s="1">
        <v>322</v>
      </c>
      <c r="F195" s="1">
        <v>268</v>
      </c>
      <c r="G195" s="1">
        <v>0</v>
      </c>
      <c r="H195" s="1">
        <v>0</v>
      </c>
      <c r="I195" s="1">
        <v>182</v>
      </c>
      <c r="J195" s="1">
        <v>0.005</v>
      </c>
      <c r="K195" s="1">
        <v>28</v>
      </c>
      <c r="L195" s="1">
        <v>3</v>
      </c>
      <c r="M195" s="1">
        <v>1.6</v>
      </c>
      <c r="N195" s="1">
        <v>41</v>
      </c>
      <c r="O195" s="1">
        <v>1.3</v>
      </c>
      <c r="P195" s="19">
        <v>153.8461538</v>
      </c>
      <c r="Q195" s="1">
        <v>39</v>
      </c>
      <c r="R195" s="1">
        <v>6</v>
      </c>
      <c r="S195" s="1">
        <v>76.4</v>
      </c>
    </row>
    <row r="196" spans="1:19">
      <c r="A196" s="1">
        <v>483</v>
      </c>
      <c r="B196" s="1">
        <v>1074</v>
      </c>
      <c r="C196" s="16">
        <v>0.169617894</v>
      </c>
      <c r="D196" s="1">
        <v>0</v>
      </c>
      <c r="E196" s="1">
        <v>322</v>
      </c>
      <c r="F196" s="1">
        <v>268</v>
      </c>
      <c r="G196" s="1">
        <v>0</v>
      </c>
      <c r="H196" s="1">
        <v>0</v>
      </c>
      <c r="I196" s="1">
        <v>182</v>
      </c>
      <c r="J196" s="1">
        <v>0.0075</v>
      </c>
      <c r="K196" s="1">
        <v>28</v>
      </c>
      <c r="L196" s="1">
        <v>3</v>
      </c>
      <c r="M196" s="1">
        <v>1.6</v>
      </c>
      <c r="N196" s="1">
        <v>41</v>
      </c>
      <c r="O196" s="1">
        <v>1.3</v>
      </c>
      <c r="P196" s="19">
        <v>153.8461538</v>
      </c>
      <c r="Q196" s="1">
        <v>39</v>
      </c>
      <c r="R196" s="1">
        <v>6</v>
      </c>
      <c r="S196" s="1">
        <v>80.1</v>
      </c>
    </row>
    <row r="197" spans="1:19">
      <c r="A197" s="1">
        <v>483</v>
      </c>
      <c r="B197" s="1">
        <v>1074</v>
      </c>
      <c r="C197" s="16">
        <v>0.169617894</v>
      </c>
      <c r="D197" s="1">
        <v>0</v>
      </c>
      <c r="E197" s="1">
        <v>322</v>
      </c>
      <c r="F197" s="1">
        <v>268</v>
      </c>
      <c r="G197" s="1">
        <v>0</v>
      </c>
      <c r="H197" s="1">
        <v>0</v>
      </c>
      <c r="I197" s="1">
        <v>182</v>
      </c>
      <c r="J197" s="1">
        <v>0.01</v>
      </c>
      <c r="K197" s="1">
        <v>28</v>
      </c>
      <c r="L197" s="1">
        <v>3</v>
      </c>
      <c r="M197" s="1">
        <v>1.6</v>
      </c>
      <c r="N197" s="1">
        <v>41</v>
      </c>
      <c r="O197" s="1">
        <v>1.3</v>
      </c>
      <c r="P197" s="19">
        <v>153.8461538</v>
      </c>
      <c r="Q197" s="1">
        <v>39</v>
      </c>
      <c r="R197" s="1">
        <v>6</v>
      </c>
      <c r="S197" s="1">
        <v>79.2</v>
      </c>
    </row>
    <row r="198" spans="1:19">
      <c r="A198" s="1">
        <v>483</v>
      </c>
      <c r="B198" s="1">
        <v>1074</v>
      </c>
      <c r="C198" s="16">
        <v>0.169617894</v>
      </c>
      <c r="D198" s="1">
        <v>0</v>
      </c>
      <c r="E198" s="1">
        <v>322</v>
      </c>
      <c r="F198" s="1">
        <v>268</v>
      </c>
      <c r="G198" s="1">
        <v>0</v>
      </c>
      <c r="H198" s="1">
        <v>0</v>
      </c>
      <c r="I198" s="1">
        <v>182</v>
      </c>
      <c r="J198" s="1">
        <v>0</v>
      </c>
      <c r="K198" s="1">
        <v>28</v>
      </c>
      <c r="L198" s="1">
        <v>1</v>
      </c>
      <c r="M198" s="1">
        <v>0.46</v>
      </c>
      <c r="N198" s="1">
        <v>4.236</v>
      </c>
      <c r="O198" s="1">
        <v>0.91</v>
      </c>
      <c r="P198" s="19">
        <v>153.8461538</v>
      </c>
      <c r="Q198" s="1">
        <v>39</v>
      </c>
      <c r="R198" s="1">
        <v>6</v>
      </c>
      <c r="S198" s="1">
        <v>88</v>
      </c>
    </row>
    <row r="199" spans="1:19">
      <c r="A199" s="1">
        <v>483</v>
      </c>
      <c r="B199" s="1">
        <v>1074</v>
      </c>
      <c r="C199" s="16">
        <v>0.169617894</v>
      </c>
      <c r="D199" s="1">
        <v>0</v>
      </c>
      <c r="E199" s="1">
        <v>322</v>
      </c>
      <c r="F199" s="1">
        <v>268</v>
      </c>
      <c r="G199" s="1">
        <v>0</v>
      </c>
      <c r="H199" s="1">
        <v>0</v>
      </c>
      <c r="I199" s="1">
        <v>182</v>
      </c>
      <c r="J199" s="1">
        <v>0.0025</v>
      </c>
      <c r="K199" s="1">
        <v>28</v>
      </c>
      <c r="L199" s="1">
        <v>1</v>
      </c>
      <c r="M199" s="1">
        <v>0.46</v>
      </c>
      <c r="N199" s="1">
        <v>4.236</v>
      </c>
      <c r="O199" s="1">
        <v>0.91</v>
      </c>
      <c r="P199" s="19">
        <v>153.8461538</v>
      </c>
      <c r="Q199" s="1">
        <v>39</v>
      </c>
      <c r="R199" s="1">
        <v>6</v>
      </c>
      <c r="S199" s="1">
        <v>80</v>
      </c>
    </row>
    <row r="200" spans="1:19">
      <c r="A200" s="1">
        <v>483</v>
      </c>
      <c r="B200" s="1">
        <v>1074</v>
      </c>
      <c r="C200" s="16">
        <v>0.169617894</v>
      </c>
      <c r="D200" s="1">
        <v>0</v>
      </c>
      <c r="E200" s="1">
        <v>322</v>
      </c>
      <c r="F200" s="1">
        <v>268</v>
      </c>
      <c r="G200" s="1">
        <v>0</v>
      </c>
      <c r="H200" s="1">
        <v>0</v>
      </c>
      <c r="I200" s="1">
        <v>182</v>
      </c>
      <c r="J200" s="1">
        <v>0.005</v>
      </c>
      <c r="K200" s="1">
        <v>28</v>
      </c>
      <c r="L200" s="1">
        <v>1</v>
      </c>
      <c r="M200" s="1">
        <v>0.46</v>
      </c>
      <c r="N200" s="1">
        <v>4.236</v>
      </c>
      <c r="O200" s="1">
        <v>0.91</v>
      </c>
      <c r="P200" s="19">
        <v>153.8461538</v>
      </c>
      <c r="Q200" s="1">
        <v>39</v>
      </c>
      <c r="R200" s="1">
        <v>6</v>
      </c>
      <c r="S200" s="1">
        <v>78.2</v>
      </c>
    </row>
    <row r="201" spans="1:19">
      <c r="A201" s="1">
        <v>483</v>
      </c>
      <c r="B201" s="1">
        <v>1074</v>
      </c>
      <c r="C201" s="16">
        <v>0.169617894</v>
      </c>
      <c r="D201" s="1">
        <v>0</v>
      </c>
      <c r="E201" s="1">
        <v>322</v>
      </c>
      <c r="F201" s="1">
        <v>268</v>
      </c>
      <c r="G201" s="1">
        <v>0</v>
      </c>
      <c r="H201" s="1">
        <v>0</v>
      </c>
      <c r="I201" s="1">
        <v>182</v>
      </c>
      <c r="J201" s="1">
        <v>0.0075</v>
      </c>
      <c r="K201" s="1">
        <v>28</v>
      </c>
      <c r="L201" s="1">
        <v>1</v>
      </c>
      <c r="M201" s="1">
        <v>0.46</v>
      </c>
      <c r="N201" s="1">
        <v>4.236</v>
      </c>
      <c r="O201" s="1">
        <v>0.91</v>
      </c>
      <c r="P201" s="19">
        <v>153.8461538</v>
      </c>
      <c r="Q201" s="1">
        <v>39</v>
      </c>
      <c r="R201" s="1">
        <v>6</v>
      </c>
      <c r="S201" s="1">
        <v>90.3</v>
      </c>
    </row>
    <row r="202" spans="1:19">
      <c r="A202" s="1">
        <v>483</v>
      </c>
      <c r="B202" s="1">
        <v>1074</v>
      </c>
      <c r="C202" s="16">
        <v>0.169617894</v>
      </c>
      <c r="D202" s="1">
        <v>0</v>
      </c>
      <c r="E202" s="1">
        <v>322</v>
      </c>
      <c r="F202" s="1">
        <v>268</v>
      </c>
      <c r="G202" s="1">
        <v>0</v>
      </c>
      <c r="H202" s="1">
        <v>0</v>
      </c>
      <c r="I202" s="1">
        <v>182</v>
      </c>
      <c r="J202" s="1">
        <v>0.01</v>
      </c>
      <c r="K202" s="1">
        <v>28</v>
      </c>
      <c r="L202" s="1">
        <v>1</v>
      </c>
      <c r="M202" s="1">
        <v>0.46</v>
      </c>
      <c r="N202" s="1">
        <v>4.236</v>
      </c>
      <c r="O202" s="1">
        <v>0.91</v>
      </c>
      <c r="P202" s="19">
        <v>153.8461538</v>
      </c>
      <c r="Q202" s="1">
        <v>39</v>
      </c>
      <c r="R202" s="1">
        <v>6</v>
      </c>
      <c r="S202" s="1">
        <v>88.3</v>
      </c>
    </row>
    <row r="203" spans="1:19">
      <c r="A203" s="1">
        <v>483</v>
      </c>
      <c r="B203" s="1">
        <v>1074</v>
      </c>
      <c r="C203" s="16">
        <v>0.169617894</v>
      </c>
      <c r="D203" s="1">
        <v>0</v>
      </c>
      <c r="E203" s="1">
        <v>322</v>
      </c>
      <c r="F203" s="1">
        <v>268</v>
      </c>
      <c r="G203" s="1">
        <v>0</v>
      </c>
      <c r="H203" s="1">
        <v>0</v>
      </c>
      <c r="I203" s="1">
        <v>182</v>
      </c>
      <c r="J203" s="1">
        <v>0</v>
      </c>
      <c r="K203" s="1">
        <v>28</v>
      </c>
      <c r="L203" s="1">
        <v>2</v>
      </c>
      <c r="M203" s="1">
        <v>0.46</v>
      </c>
      <c r="N203" s="1">
        <v>4.236</v>
      </c>
      <c r="O203" s="1">
        <v>0.91</v>
      </c>
      <c r="P203" s="19">
        <v>153.8461538</v>
      </c>
      <c r="Q203" s="1">
        <v>39</v>
      </c>
      <c r="R203" s="1">
        <v>6</v>
      </c>
      <c r="S203" s="1">
        <v>90.4</v>
      </c>
    </row>
    <row r="204" spans="1:19">
      <c r="A204" s="1">
        <v>483</v>
      </c>
      <c r="B204" s="1">
        <v>1074</v>
      </c>
      <c r="C204" s="16">
        <v>0.169617894</v>
      </c>
      <c r="D204" s="1">
        <v>0</v>
      </c>
      <c r="E204" s="1">
        <v>322</v>
      </c>
      <c r="F204" s="1">
        <v>268</v>
      </c>
      <c r="G204" s="1">
        <v>0</v>
      </c>
      <c r="H204" s="1">
        <v>0</v>
      </c>
      <c r="I204" s="1">
        <v>182</v>
      </c>
      <c r="J204" s="1">
        <v>0.0025</v>
      </c>
      <c r="K204" s="1">
        <v>28</v>
      </c>
      <c r="L204" s="1">
        <v>2</v>
      </c>
      <c r="M204" s="1">
        <v>0.46</v>
      </c>
      <c r="N204" s="1">
        <v>4.236</v>
      </c>
      <c r="O204" s="1">
        <v>0.91</v>
      </c>
      <c r="P204" s="19">
        <v>153.8461538</v>
      </c>
      <c r="Q204" s="1">
        <v>39</v>
      </c>
      <c r="R204" s="1">
        <v>6</v>
      </c>
      <c r="S204" s="1">
        <v>63.1</v>
      </c>
    </row>
    <row r="205" spans="1:19">
      <c r="A205" s="1">
        <v>483</v>
      </c>
      <c r="B205" s="1">
        <v>1074</v>
      </c>
      <c r="C205" s="16">
        <v>0.169617894</v>
      </c>
      <c r="D205" s="1">
        <v>0</v>
      </c>
      <c r="E205" s="1">
        <v>322</v>
      </c>
      <c r="F205" s="1">
        <v>268</v>
      </c>
      <c r="G205" s="1">
        <v>0</v>
      </c>
      <c r="H205" s="1">
        <v>0</v>
      </c>
      <c r="I205" s="1">
        <v>182</v>
      </c>
      <c r="J205" s="1">
        <v>0.005</v>
      </c>
      <c r="K205" s="1">
        <v>28</v>
      </c>
      <c r="L205" s="1">
        <v>2</v>
      </c>
      <c r="M205" s="1">
        <v>0.46</v>
      </c>
      <c r="N205" s="1">
        <v>4.236</v>
      </c>
      <c r="O205" s="1">
        <v>0.91</v>
      </c>
      <c r="P205" s="19">
        <v>153.8461538</v>
      </c>
      <c r="Q205" s="1">
        <v>39</v>
      </c>
      <c r="R205" s="1">
        <v>6</v>
      </c>
      <c r="S205" s="1">
        <v>73.2</v>
      </c>
    </row>
    <row r="206" spans="1:19">
      <c r="A206" s="1">
        <v>483</v>
      </c>
      <c r="B206" s="1">
        <v>1074</v>
      </c>
      <c r="C206" s="16">
        <v>0.169617894</v>
      </c>
      <c r="D206" s="1">
        <v>0</v>
      </c>
      <c r="E206" s="1">
        <v>322</v>
      </c>
      <c r="F206" s="1">
        <v>268</v>
      </c>
      <c r="G206" s="1">
        <v>0</v>
      </c>
      <c r="H206" s="1">
        <v>0</v>
      </c>
      <c r="I206" s="1">
        <v>182</v>
      </c>
      <c r="J206" s="1">
        <v>0.0075</v>
      </c>
      <c r="K206" s="1">
        <v>28</v>
      </c>
      <c r="L206" s="1">
        <v>2</v>
      </c>
      <c r="M206" s="1">
        <v>0.46</v>
      </c>
      <c r="N206" s="1">
        <v>4.236</v>
      </c>
      <c r="O206" s="1">
        <v>0.91</v>
      </c>
      <c r="P206" s="19">
        <v>153.8461538</v>
      </c>
      <c r="Q206" s="1">
        <v>39</v>
      </c>
      <c r="R206" s="1">
        <v>6</v>
      </c>
      <c r="S206" s="1">
        <v>84.6</v>
      </c>
    </row>
    <row r="207" spans="1:19">
      <c r="A207" s="1">
        <v>483</v>
      </c>
      <c r="B207" s="1">
        <v>1074</v>
      </c>
      <c r="C207" s="16">
        <v>0.169617894</v>
      </c>
      <c r="D207" s="1">
        <v>0</v>
      </c>
      <c r="E207" s="1">
        <v>322</v>
      </c>
      <c r="F207" s="1">
        <v>268</v>
      </c>
      <c r="G207" s="1">
        <v>0</v>
      </c>
      <c r="H207" s="1">
        <v>0</v>
      </c>
      <c r="I207" s="1">
        <v>182</v>
      </c>
      <c r="J207" s="1">
        <v>0.01</v>
      </c>
      <c r="K207" s="1">
        <v>28</v>
      </c>
      <c r="L207" s="1">
        <v>2</v>
      </c>
      <c r="M207" s="1">
        <v>0.46</v>
      </c>
      <c r="N207" s="1">
        <v>4.236</v>
      </c>
      <c r="O207" s="1">
        <v>0.91</v>
      </c>
      <c r="P207" s="19">
        <v>153.8461538</v>
      </c>
      <c r="Q207" s="1">
        <v>39</v>
      </c>
      <c r="R207" s="1">
        <v>6</v>
      </c>
      <c r="S207" s="1">
        <v>92.3</v>
      </c>
    </row>
    <row r="208" spans="1:19">
      <c r="A208" s="1">
        <v>483</v>
      </c>
      <c r="B208" s="1">
        <v>1074</v>
      </c>
      <c r="C208" s="16">
        <v>0.169617894</v>
      </c>
      <c r="D208" s="1">
        <v>0</v>
      </c>
      <c r="E208" s="1">
        <v>322</v>
      </c>
      <c r="F208" s="1">
        <v>268</v>
      </c>
      <c r="G208" s="1">
        <v>0</v>
      </c>
      <c r="H208" s="1">
        <v>0</v>
      </c>
      <c r="I208" s="1">
        <v>182</v>
      </c>
      <c r="J208" s="1">
        <v>0</v>
      </c>
      <c r="K208" s="1">
        <v>28</v>
      </c>
      <c r="L208" s="1">
        <v>3</v>
      </c>
      <c r="M208" s="1">
        <v>0.46</v>
      </c>
      <c r="N208" s="1">
        <v>4.236</v>
      </c>
      <c r="O208" s="1">
        <v>0.91</v>
      </c>
      <c r="P208" s="19">
        <v>153.8461538</v>
      </c>
      <c r="Q208" s="1">
        <v>39</v>
      </c>
      <c r="R208" s="1">
        <v>6</v>
      </c>
      <c r="S208" s="1">
        <v>97.4</v>
      </c>
    </row>
    <row r="209" spans="1:19">
      <c r="A209" s="1">
        <v>483</v>
      </c>
      <c r="B209" s="1">
        <v>1074</v>
      </c>
      <c r="C209" s="16">
        <v>0.169617894</v>
      </c>
      <c r="D209" s="1">
        <v>0</v>
      </c>
      <c r="E209" s="1">
        <v>322</v>
      </c>
      <c r="F209" s="1">
        <v>268</v>
      </c>
      <c r="G209" s="1">
        <v>0</v>
      </c>
      <c r="H209" s="1">
        <v>0</v>
      </c>
      <c r="I209" s="1">
        <v>182</v>
      </c>
      <c r="J209" s="1">
        <v>0.0025</v>
      </c>
      <c r="K209" s="1">
        <v>28</v>
      </c>
      <c r="L209" s="1">
        <v>3</v>
      </c>
      <c r="M209" s="1">
        <v>0.46</v>
      </c>
      <c r="N209" s="1">
        <v>4.236</v>
      </c>
      <c r="O209" s="1">
        <v>0.91</v>
      </c>
      <c r="P209" s="19">
        <v>153.8461538</v>
      </c>
      <c r="Q209" s="1">
        <v>39</v>
      </c>
      <c r="R209" s="1">
        <v>6</v>
      </c>
      <c r="S209" s="1">
        <v>75.6</v>
      </c>
    </row>
    <row r="210" spans="1:19">
      <c r="A210" s="1">
        <v>483</v>
      </c>
      <c r="B210" s="1">
        <v>1074</v>
      </c>
      <c r="C210" s="16">
        <v>0.169617894</v>
      </c>
      <c r="D210" s="1">
        <v>0</v>
      </c>
      <c r="E210" s="1">
        <v>322</v>
      </c>
      <c r="F210" s="1">
        <v>268</v>
      </c>
      <c r="G210" s="1">
        <v>0</v>
      </c>
      <c r="H210" s="1">
        <v>0</v>
      </c>
      <c r="I210" s="1">
        <v>182</v>
      </c>
      <c r="J210" s="1">
        <v>0.005</v>
      </c>
      <c r="K210" s="1">
        <v>28</v>
      </c>
      <c r="L210" s="1">
        <v>3</v>
      </c>
      <c r="M210" s="1">
        <v>0.46</v>
      </c>
      <c r="N210" s="1">
        <v>4.236</v>
      </c>
      <c r="O210" s="1">
        <v>0.91</v>
      </c>
      <c r="P210" s="19">
        <v>153.8461538</v>
      </c>
      <c r="Q210" s="1">
        <v>39</v>
      </c>
      <c r="R210" s="1">
        <v>6</v>
      </c>
      <c r="S210" s="1">
        <v>69.2</v>
      </c>
    </row>
    <row r="211" spans="1:19">
      <c r="A211" s="1">
        <v>483</v>
      </c>
      <c r="B211" s="1">
        <v>1074</v>
      </c>
      <c r="C211" s="16">
        <v>0.169617894</v>
      </c>
      <c r="D211" s="1">
        <v>0</v>
      </c>
      <c r="E211" s="1">
        <v>322</v>
      </c>
      <c r="F211" s="1">
        <v>268</v>
      </c>
      <c r="G211" s="1">
        <v>0</v>
      </c>
      <c r="H211" s="1">
        <v>0</v>
      </c>
      <c r="I211" s="1">
        <v>182</v>
      </c>
      <c r="J211" s="1">
        <v>0.0075</v>
      </c>
      <c r="K211" s="1">
        <v>28</v>
      </c>
      <c r="L211" s="1">
        <v>3</v>
      </c>
      <c r="M211" s="1">
        <v>0.46</v>
      </c>
      <c r="N211" s="1">
        <v>4.236</v>
      </c>
      <c r="O211" s="1">
        <v>0.91</v>
      </c>
      <c r="P211" s="19">
        <v>153.8461538</v>
      </c>
      <c r="Q211" s="1">
        <v>39</v>
      </c>
      <c r="R211" s="1">
        <v>6</v>
      </c>
      <c r="S211" s="1">
        <v>69</v>
      </c>
    </row>
    <row r="212" spans="1:19">
      <c r="A212" s="1">
        <v>483</v>
      </c>
      <c r="B212" s="1">
        <v>1074</v>
      </c>
      <c r="C212" s="16">
        <v>0.169617894</v>
      </c>
      <c r="D212" s="1">
        <v>0</v>
      </c>
      <c r="E212" s="1">
        <v>322</v>
      </c>
      <c r="F212" s="1">
        <v>268</v>
      </c>
      <c r="G212" s="1">
        <v>0</v>
      </c>
      <c r="H212" s="1">
        <v>0</v>
      </c>
      <c r="I212" s="1">
        <v>182</v>
      </c>
      <c r="J212" s="1">
        <v>0.01</v>
      </c>
      <c r="K212" s="1">
        <v>28</v>
      </c>
      <c r="L212" s="1">
        <v>3</v>
      </c>
      <c r="M212" s="1">
        <v>0.46</v>
      </c>
      <c r="N212" s="1">
        <v>4.236</v>
      </c>
      <c r="O212" s="1">
        <v>0.91</v>
      </c>
      <c r="P212" s="19">
        <v>153.8461538</v>
      </c>
      <c r="Q212" s="1">
        <v>39</v>
      </c>
      <c r="R212" s="1">
        <v>6</v>
      </c>
      <c r="S212" s="1">
        <v>89.5</v>
      </c>
    </row>
    <row r="213" spans="1:19">
      <c r="A213" s="1">
        <v>1112.3</v>
      </c>
      <c r="B213" s="1">
        <v>1902</v>
      </c>
      <c r="C213" s="16">
        <v>0.265748774</v>
      </c>
      <c r="D213" s="1">
        <v>322.6</v>
      </c>
      <c r="E213" s="1">
        <v>0</v>
      </c>
      <c r="F213" s="1">
        <v>155.7</v>
      </c>
      <c r="G213" s="1">
        <v>20</v>
      </c>
      <c r="H213" s="1">
        <v>0</v>
      </c>
      <c r="I213" s="1">
        <v>422.7</v>
      </c>
      <c r="J213" s="1">
        <v>0</v>
      </c>
      <c r="K213" s="1">
        <v>28</v>
      </c>
      <c r="L213" s="1">
        <v>0</v>
      </c>
      <c r="M213" s="1">
        <v>2</v>
      </c>
      <c r="N213" s="1">
        <v>85</v>
      </c>
      <c r="O213" s="1">
        <v>2.699</v>
      </c>
      <c r="P213" s="1">
        <v>1200</v>
      </c>
      <c r="Q213" s="1">
        <v>15</v>
      </c>
      <c r="R213" s="1">
        <v>18</v>
      </c>
      <c r="S213" s="1">
        <v>0</v>
      </c>
    </row>
    <row r="214" spans="1:19">
      <c r="A214" s="1">
        <v>1112.3</v>
      </c>
      <c r="B214" s="1">
        <v>1902</v>
      </c>
      <c r="C214" s="16">
        <v>0.265748774</v>
      </c>
      <c r="D214" s="1">
        <v>322.6</v>
      </c>
      <c r="E214" s="1">
        <v>0</v>
      </c>
      <c r="F214" s="1">
        <v>155.7</v>
      </c>
      <c r="G214" s="1">
        <v>20</v>
      </c>
      <c r="H214" s="1">
        <v>0</v>
      </c>
      <c r="I214" s="1">
        <v>422.7</v>
      </c>
      <c r="J214" s="1">
        <v>0.001</v>
      </c>
      <c r="K214" s="1">
        <v>28</v>
      </c>
      <c r="L214" s="1">
        <v>0</v>
      </c>
      <c r="M214" s="1">
        <v>2</v>
      </c>
      <c r="N214" s="1">
        <v>85</v>
      </c>
      <c r="O214" s="1">
        <v>2.699</v>
      </c>
      <c r="P214" s="1">
        <v>1200</v>
      </c>
      <c r="Q214" s="1">
        <v>15</v>
      </c>
      <c r="R214" s="1">
        <v>18</v>
      </c>
      <c r="S214" s="1">
        <v>0</v>
      </c>
    </row>
    <row r="215" spans="1:19">
      <c r="A215" s="1">
        <v>1112.3</v>
      </c>
      <c r="B215" s="1">
        <v>1902</v>
      </c>
      <c r="C215" s="16">
        <v>0.265748774</v>
      </c>
      <c r="D215" s="1">
        <v>322.6</v>
      </c>
      <c r="E215" s="1">
        <v>0</v>
      </c>
      <c r="F215" s="1">
        <v>155.7</v>
      </c>
      <c r="G215" s="1">
        <v>20</v>
      </c>
      <c r="H215" s="1">
        <v>0</v>
      </c>
      <c r="I215" s="1">
        <v>422.7</v>
      </c>
      <c r="J215" s="1">
        <v>0.003</v>
      </c>
      <c r="K215" s="1">
        <v>28</v>
      </c>
      <c r="L215" s="1">
        <v>0</v>
      </c>
      <c r="M215" s="1">
        <v>2</v>
      </c>
      <c r="N215" s="1">
        <v>85</v>
      </c>
      <c r="O215" s="1">
        <v>2.699</v>
      </c>
      <c r="P215" s="1">
        <v>1200</v>
      </c>
      <c r="Q215" s="1">
        <v>15</v>
      </c>
      <c r="R215" s="1">
        <v>18</v>
      </c>
      <c r="S215" s="1">
        <v>0</v>
      </c>
    </row>
    <row r="216" spans="1:19">
      <c r="A216" s="1">
        <v>1112.3</v>
      </c>
      <c r="B216" s="1">
        <v>1902</v>
      </c>
      <c r="C216" s="16">
        <v>0.265748774</v>
      </c>
      <c r="D216" s="1">
        <v>322.6</v>
      </c>
      <c r="E216" s="1">
        <v>0</v>
      </c>
      <c r="F216" s="1">
        <v>155.7</v>
      </c>
      <c r="G216" s="1">
        <v>20</v>
      </c>
      <c r="H216" s="1">
        <v>0</v>
      </c>
      <c r="I216" s="1">
        <v>422.7</v>
      </c>
      <c r="J216" s="1">
        <v>0.005</v>
      </c>
      <c r="K216" s="1">
        <v>28</v>
      </c>
      <c r="L216" s="1">
        <v>0</v>
      </c>
      <c r="M216" s="1">
        <v>2</v>
      </c>
      <c r="N216" s="1">
        <v>85</v>
      </c>
      <c r="O216" s="1">
        <v>2.699</v>
      </c>
      <c r="P216" s="1">
        <v>1200</v>
      </c>
      <c r="Q216" s="1">
        <v>15</v>
      </c>
      <c r="R216" s="1">
        <v>18</v>
      </c>
      <c r="S216" s="1">
        <v>0</v>
      </c>
    </row>
    <row r="217" spans="1:19">
      <c r="A217" s="1">
        <v>1112.3</v>
      </c>
      <c r="B217" s="1">
        <v>1902</v>
      </c>
      <c r="C217" s="16">
        <v>0.265748774</v>
      </c>
      <c r="D217" s="1">
        <v>322.6</v>
      </c>
      <c r="E217" s="1">
        <v>0</v>
      </c>
      <c r="F217" s="1">
        <v>155.7</v>
      </c>
      <c r="G217" s="1">
        <v>20</v>
      </c>
      <c r="H217" s="1">
        <v>0</v>
      </c>
      <c r="I217" s="1">
        <v>422.7</v>
      </c>
      <c r="J217" s="1">
        <v>0.007</v>
      </c>
      <c r="K217" s="1">
        <v>28</v>
      </c>
      <c r="L217" s="1">
        <v>1</v>
      </c>
      <c r="M217" s="1">
        <v>2</v>
      </c>
      <c r="N217" s="1">
        <v>85</v>
      </c>
      <c r="O217" s="1">
        <v>2.699</v>
      </c>
      <c r="P217" s="1">
        <v>1200</v>
      </c>
      <c r="Q217" s="1">
        <v>15</v>
      </c>
      <c r="R217" s="1">
        <v>18</v>
      </c>
      <c r="S217" s="1">
        <v>34.23</v>
      </c>
    </row>
    <row r="218" spans="1:19">
      <c r="A218" s="1">
        <v>1112.3</v>
      </c>
      <c r="B218" s="1">
        <v>1902</v>
      </c>
      <c r="C218" s="16">
        <v>0.265748774</v>
      </c>
      <c r="D218" s="1">
        <v>322.6</v>
      </c>
      <c r="E218" s="1">
        <v>0</v>
      </c>
      <c r="F218" s="1">
        <v>155.7</v>
      </c>
      <c r="G218" s="1">
        <v>20</v>
      </c>
      <c r="H218" s="1">
        <v>0</v>
      </c>
      <c r="I218" s="1">
        <v>422.7</v>
      </c>
      <c r="J218" s="1">
        <v>0.007</v>
      </c>
      <c r="K218" s="1">
        <v>28</v>
      </c>
      <c r="L218" s="1">
        <v>2</v>
      </c>
      <c r="M218" s="1">
        <v>2</v>
      </c>
      <c r="N218" s="1">
        <v>85</v>
      </c>
      <c r="O218" s="1">
        <v>2.699</v>
      </c>
      <c r="P218" s="1">
        <v>1200</v>
      </c>
      <c r="Q218" s="1">
        <v>15</v>
      </c>
      <c r="R218" s="1">
        <v>18</v>
      </c>
      <c r="S218" s="1">
        <v>36.45</v>
      </c>
    </row>
    <row r="219" spans="1:19">
      <c r="A219" s="1">
        <v>1112.3</v>
      </c>
      <c r="B219" s="1">
        <v>1902</v>
      </c>
      <c r="C219" s="16">
        <v>0.265748774</v>
      </c>
      <c r="D219" s="1">
        <v>322.6</v>
      </c>
      <c r="E219" s="1">
        <v>0</v>
      </c>
      <c r="F219" s="1">
        <v>155.7</v>
      </c>
      <c r="G219" s="1">
        <v>20</v>
      </c>
      <c r="H219" s="1">
        <v>0</v>
      </c>
      <c r="I219" s="1">
        <v>422.7</v>
      </c>
      <c r="J219" s="1">
        <v>0.007</v>
      </c>
      <c r="K219" s="1">
        <v>28</v>
      </c>
      <c r="L219" s="1">
        <v>3</v>
      </c>
      <c r="M219" s="1">
        <v>2</v>
      </c>
      <c r="N219" s="1">
        <v>85</v>
      </c>
      <c r="O219" s="1">
        <v>2.699</v>
      </c>
      <c r="P219" s="1">
        <v>1200</v>
      </c>
      <c r="Q219" s="1">
        <v>15</v>
      </c>
      <c r="R219" s="1">
        <v>18</v>
      </c>
      <c r="S219" s="1">
        <v>26.54</v>
      </c>
    </row>
    <row r="220" spans="1:19">
      <c r="A220" s="1">
        <v>1112.3</v>
      </c>
      <c r="B220" s="1">
        <v>1902</v>
      </c>
      <c r="C220" s="16">
        <v>0.265748774</v>
      </c>
      <c r="D220" s="1">
        <v>322.6</v>
      </c>
      <c r="E220" s="1">
        <v>0</v>
      </c>
      <c r="F220" s="1">
        <v>155.7</v>
      </c>
      <c r="G220" s="1">
        <v>20</v>
      </c>
      <c r="H220" s="1">
        <v>0</v>
      </c>
      <c r="I220" s="1">
        <v>422.7</v>
      </c>
      <c r="J220" s="1">
        <v>0.007</v>
      </c>
      <c r="K220" s="1">
        <v>28</v>
      </c>
      <c r="L220" s="1">
        <v>1</v>
      </c>
      <c r="M220" s="1">
        <v>2</v>
      </c>
      <c r="N220" s="1">
        <v>85</v>
      </c>
      <c r="O220" s="1">
        <v>2.699</v>
      </c>
      <c r="P220" s="1">
        <v>1200</v>
      </c>
      <c r="Q220" s="1">
        <v>15</v>
      </c>
      <c r="R220" s="1">
        <v>18</v>
      </c>
      <c r="S220" s="1">
        <v>40.12</v>
      </c>
    </row>
    <row r="221" spans="1:19">
      <c r="A221" s="1">
        <v>1112.3</v>
      </c>
      <c r="B221" s="1">
        <v>1902</v>
      </c>
      <c r="C221" s="16">
        <v>0.265748774</v>
      </c>
      <c r="D221" s="1">
        <v>322.6</v>
      </c>
      <c r="E221" s="1">
        <v>0</v>
      </c>
      <c r="F221" s="1">
        <v>155.7</v>
      </c>
      <c r="G221" s="1">
        <v>20</v>
      </c>
      <c r="H221" s="1">
        <v>0</v>
      </c>
      <c r="I221" s="1">
        <v>422.7</v>
      </c>
      <c r="J221" s="1">
        <v>0.007</v>
      </c>
      <c r="K221" s="1">
        <v>28</v>
      </c>
      <c r="L221" s="1">
        <v>2</v>
      </c>
      <c r="M221" s="1">
        <v>2</v>
      </c>
      <c r="N221" s="1">
        <v>85</v>
      </c>
      <c r="O221" s="1">
        <v>2.699</v>
      </c>
      <c r="P221" s="1">
        <v>1200</v>
      </c>
      <c r="Q221" s="1">
        <v>15</v>
      </c>
      <c r="R221" s="1">
        <v>18</v>
      </c>
      <c r="S221" s="1">
        <v>37.54</v>
      </c>
    </row>
    <row r="222" spans="1:19">
      <c r="A222" s="1">
        <v>1112.3</v>
      </c>
      <c r="B222" s="1">
        <v>1902</v>
      </c>
      <c r="C222" s="16">
        <v>0.265748774</v>
      </c>
      <c r="D222" s="1">
        <v>322.6</v>
      </c>
      <c r="E222" s="1">
        <v>0</v>
      </c>
      <c r="F222" s="1">
        <v>155.7</v>
      </c>
      <c r="G222" s="1">
        <v>20</v>
      </c>
      <c r="H222" s="1">
        <v>0</v>
      </c>
      <c r="I222" s="1">
        <v>422.7</v>
      </c>
      <c r="J222" s="1">
        <v>0.007</v>
      </c>
      <c r="K222" s="1">
        <v>28</v>
      </c>
      <c r="L222" s="1">
        <v>3</v>
      </c>
      <c r="M222" s="1">
        <v>2</v>
      </c>
      <c r="N222" s="1">
        <v>85</v>
      </c>
      <c r="O222" s="1">
        <v>2.699</v>
      </c>
      <c r="P222" s="1">
        <v>1200</v>
      </c>
      <c r="Q222" s="1">
        <v>15</v>
      </c>
      <c r="R222" s="1">
        <v>18</v>
      </c>
      <c r="S222" s="1">
        <v>32.14</v>
      </c>
    </row>
    <row r="223" spans="1:19">
      <c r="A223" s="1">
        <v>1112.3</v>
      </c>
      <c r="B223" s="1">
        <v>1902</v>
      </c>
      <c r="C223" s="16">
        <v>0.265748774</v>
      </c>
      <c r="D223" s="1">
        <v>322.6</v>
      </c>
      <c r="E223" s="1">
        <v>0</v>
      </c>
      <c r="F223" s="1">
        <v>155.7</v>
      </c>
      <c r="G223" s="1">
        <v>20</v>
      </c>
      <c r="H223" s="1">
        <v>0</v>
      </c>
      <c r="I223" s="1">
        <v>422.7</v>
      </c>
      <c r="J223" s="1">
        <v>0.007</v>
      </c>
      <c r="K223" s="1">
        <v>28</v>
      </c>
      <c r="L223" s="1">
        <v>1</v>
      </c>
      <c r="M223" s="1">
        <v>2</v>
      </c>
      <c r="N223" s="1">
        <v>85</v>
      </c>
      <c r="O223" s="1">
        <v>2.699</v>
      </c>
      <c r="P223" s="1">
        <v>1200</v>
      </c>
      <c r="Q223" s="1">
        <v>15</v>
      </c>
      <c r="R223" s="1">
        <v>18</v>
      </c>
      <c r="S223" s="1">
        <v>45.98</v>
      </c>
    </row>
    <row r="224" spans="1:19">
      <c r="A224" s="1">
        <v>1112.3</v>
      </c>
      <c r="B224" s="1">
        <v>1902</v>
      </c>
      <c r="C224" s="16">
        <v>0.265748774</v>
      </c>
      <c r="D224" s="1">
        <v>322.6</v>
      </c>
      <c r="E224" s="1">
        <v>0</v>
      </c>
      <c r="F224" s="1">
        <v>155.7</v>
      </c>
      <c r="G224" s="1">
        <v>20</v>
      </c>
      <c r="H224" s="1">
        <v>0</v>
      </c>
      <c r="I224" s="1">
        <v>422.7</v>
      </c>
      <c r="J224" s="1">
        <v>0.007</v>
      </c>
      <c r="K224" s="1">
        <v>28</v>
      </c>
      <c r="L224" s="1">
        <v>2</v>
      </c>
      <c r="M224" s="1">
        <v>2</v>
      </c>
      <c r="N224" s="1">
        <v>85</v>
      </c>
      <c r="O224" s="1">
        <v>2.699</v>
      </c>
      <c r="P224" s="1">
        <v>1200</v>
      </c>
      <c r="Q224" s="1">
        <v>15</v>
      </c>
      <c r="R224" s="1">
        <v>18</v>
      </c>
      <c r="S224" s="1">
        <v>35.84</v>
      </c>
    </row>
    <row r="225" spans="1:19">
      <c r="A225" s="1">
        <v>1112.3</v>
      </c>
      <c r="B225" s="1">
        <v>1902</v>
      </c>
      <c r="C225" s="16">
        <v>0.265748774</v>
      </c>
      <c r="D225" s="1">
        <v>322.6</v>
      </c>
      <c r="E225" s="1">
        <v>0</v>
      </c>
      <c r="F225" s="1">
        <v>155.7</v>
      </c>
      <c r="G225" s="1">
        <v>20</v>
      </c>
      <c r="H225" s="1">
        <v>0</v>
      </c>
      <c r="I225" s="1">
        <v>422.7</v>
      </c>
      <c r="J225" s="1">
        <v>0.007</v>
      </c>
      <c r="K225" s="1">
        <v>28</v>
      </c>
      <c r="L225" s="1">
        <v>3</v>
      </c>
      <c r="M225" s="1">
        <v>1.6</v>
      </c>
      <c r="N225" s="1">
        <v>41</v>
      </c>
      <c r="O225" s="1">
        <v>1.3</v>
      </c>
      <c r="P225" s="1">
        <v>1200</v>
      </c>
      <c r="Q225" s="1">
        <v>15</v>
      </c>
      <c r="R225" s="1">
        <v>18</v>
      </c>
      <c r="S225" s="1">
        <v>34.62</v>
      </c>
    </row>
    <row r="226" spans="1:19">
      <c r="A226" s="1">
        <v>285.3</v>
      </c>
      <c r="B226" s="1">
        <v>285.3</v>
      </c>
      <c r="C226" s="16">
        <v>0.299985979</v>
      </c>
      <c r="D226" s="1">
        <v>1141.1</v>
      </c>
      <c r="E226" s="1">
        <v>0</v>
      </c>
      <c r="F226" s="1">
        <v>0</v>
      </c>
      <c r="G226" s="1">
        <v>5.3</v>
      </c>
      <c r="H226" s="1">
        <v>1.4</v>
      </c>
      <c r="I226" s="1">
        <v>427.9</v>
      </c>
      <c r="J226" s="1">
        <v>0.02</v>
      </c>
      <c r="K226" s="1">
        <v>7</v>
      </c>
      <c r="L226" s="1">
        <v>2</v>
      </c>
      <c r="M226" s="1">
        <v>1.6</v>
      </c>
      <c r="N226" s="1">
        <v>41</v>
      </c>
      <c r="O226" s="1">
        <v>1.3</v>
      </c>
      <c r="P226" s="19">
        <v>307.6923077</v>
      </c>
      <c r="Q226" s="1">
        <v>39</v>
      </c>
      <c r="R226" s="1">
        <v>12</v>
      </c>
      <c r="S226" s="1">
        <v>16.45</v>
      </c>
    </row>
    <row r="227" spans="1:19">
      <c r="A227" s="1">
        <v>285.3</v>
      </c>
      <c r="B227" s="1">
        <v>285.3</v>
      </c>
      <c r="C227" s="16">
        <v>0.299985979</v>
      </c>
      <c r="D227" s="1">
        <v>1141.1</v>
      </c>
      <c r="E227" s="1">
        <v>0</v>
      </c>
      <c r="F227" s="1">
        <v>0</v>
      </c>
      <c r="G227" s="1">
        <v>5.3</v>
      </c>
      <c r="H227" s="1">
        <v>1.4</v>
      </c>
      <c r="I227" s="1">
        <v>427.9</v>
      </c>
      <c r="J227" s="1">
        <v>0.02</v>
      </c>
      <c r="K227" s="1">
        <v>7</v>
      </c>
      <c r="L227" s="1">
        <v>2</v>
      </c>
      <c r="M227" s="1">
        <v>1.6</v>
      </c>
      <c r="N227" s="1">
        <v>41</v>
      </c>
      <c r="O227" s="1">
        <v>1.3</v>
      </c>
      <c r="P227" s="19">
        <v>307.6923077</v>
      </c>
      <c r="Q227" s="1">
        <v>39</v>
      </c>
      <c r="R227" s="1">
        <v>12</v>
      </c>
      <c r="S227" s="1">
        <v>16.76</v>
      </c>
    </row>
    <row r="228" spans="1:19">
      <c r="A228" s="1">
        <v>285.3</v>
      </c>
      <c r="B228" s="1">
        <v>285.3</v>
      </c>
      <c r="C228" s="16">
        <v>0.299985979</v>
      </c>
      <c r="D228" s="1">
        <v>1141.1</v>
      </c>
      <c r="E228" s="1">
        <v>0</v>
      </c>
      <c r="F228" s="1">
        <v>0</v>
      </c>
      <c r="G228" s="1">
        <v>5.3</v>
      </c>
      <c r="H228" s="1">
        <v>1.4</v>
      </c>
      <c r="I228" s="1">
        <v>427.9</v>
      </c>
      <c r="J228" s="1">
        <v>0.02</v>
      </c>
      <c r="K228" s="1">
        <v>7</v>
      </c>
      <c r="L228" s="1">
        <v>2</v>
      </c>
      <c r="M228" s="1">
        <v>1.6</v>
      </c>
      <c r="N228" s="1">
        <v>41</v>
      </c>
      <c r="O228" s="1">
        <v>1.3</v>
      </c>
      <c r="P228" s="19">
        <v>307.6923077</v>
      </c>
      <c r="Q228" s="1">
        <v>39</v>
      </c>
      <c r="R228" s="1">
        <v>12</v>
      </c>
      <c r="S228" s="1">
        <v>16.2</v>
      </c>
    </row>
    <row r="229" spans="1:19">
      <c r="A229" s="1">
        <v>285.3</v>
      </c>
      <c r="B229" s="1">
        <v>285.3</v>
      </c>
      <c r="C229" s="16">
        <v>0.299985979</v>
      </c>
      <c r="D229" s="1">
        <v>1141.1</v>
      </c>
      <c r="E229" s="1">
        <v>0</v>
      </c>
      <c r="F229" s="1">
        <v>0</v>
      </c>
      <c r="G229" s="1">
        <v>5.3</v>
      </c>
      <c r="H229" s="1">
        <v>1.4</v>
      </c>
      <c r="I229" s="1">
        <v>427.9</v>
      </c>
      <c r="J229" s="1">
        <v>0.02</v>
      </c>
      <c r="K229" s="1">
        <v>7</v>
      </c>
      <c r="L229" s="1">
        <v>3</v>
      </c>
      <c r="M229" s="1">
        <v>1.6</v>
      </c>
      <c r="N229" s="1">
        <v>41</v>
      </c>
      <c r="O229" s="1">
        <v>1.3</v>
      </c>
      <c r="P229" s="19">
        <v>307.6923077</v>
      </c>
      <c r="Q229" s="1">
        <v>39</v>
      </c>
      <c r="R229" s="1">
        <v>12</v>
      </c>
      <c r="S229" s="1">
        <v>18.68</v>
      </c>
    </row>
    <row r="230" spans="1:19">
      <c r="A230" s="1">
        <v>285.3</v>
      </c>
      <c r="B230" s="1">
        <v>285.3</v>
      </c>
      <c r="C230" s="16">
        <v>0.299985979</v>
      </c>
      <c r="D230" s="1">
        <v>1141.1</v>
      </c>
      <c r="E230" s="1">
        <v>0</v>
      </c>
      <c r="F230" s="1">
        <v>0</v>
      </c>
      <c r="G230" s="1">
        <v>5.3</v>
      </c>
      <c r="H230" s="1">
        <v>1.4</v>
      </c>
      <c r="I230" s="1">
        <v>427.9</v>
      </c>
      <c r="J230" s="1">
        <v>0.02</v>
      </c>
      <c r="K230" s="1">
        <v>7</v>
      </c>
      <c r="L230" s="1">
        <v>3</v>
      </c>
      <c r="M230" s="1">
        <v>1.6</v>
      </c>
      <c r="N230" s="1">
        <v>41</v>
      </c>
      <c r="O230" s="1">
        <v>1.3</v>
      </c>
      <c r="P230" s="19">
        <v>307.6923077</v>
      </c>
      <c r="Q230" s="1">
        <v>39</v>
      </c>
      <c r="R230" s="1">
        <v>12</v>
      </c>
      <c r="S230" s="1">
        <v>19.03</v>
      </c>
    </row>
    <row r="231" spans="1:19">
      <c r="A231" s="1">
        <v>285.3</v>
      </c>
      <c r="B231" s="1">
        <v>285.3</v>
      </c>
      <c r="C231" s="16">
        <v>0.299985979</v>
      </c>
      <c r="D231" s="1">
        <v>1141.1</v>
      </c>
      <c r="E231" s="1">
        <v>0</v>
      </c>
      <c r="F231" s="1">
        <v>0</v>
      </c>
      <c r="G231" s="1">
        <v>5.3</v>
      </c>
      <c r="H231" s="1">
        <v>1.4</v>
      </c>
      <c r="I231" s="1">
        <v>427.9</v>
      </c>
      <c r="J231" s="1">
        <v>0.02</v>
      </c>
      <c r="K231" s="1">
        <v>7</v>
      </c>
      <c r="L231" s="1">
        <v>3</v>
      </c>
      <c r="M231" s="1">
        <v>1.6</v>
      </c>
      <c r="N231" s="1">
        <v>41</v>
      </c>
      <c r="O231" s="1">
        <v>1.3</v>
      </c>
      <c r="P231" s="19">
        <v>307.6923077</v>
      </c>
      <c r="Q231" s="1">
        <v>39</v>
      </c>
      <c r="R231" s="1">
        <v>12</v>
      </c>
      <c r="S231" s="1">
        <v>18.18</v>
      </c>
    </row>
    <row r="232" spans="1:19">
      <c r="A232" s="1">
        <v>881.6</v>
      </c>
      <c r="B232" s="1">
        <v>881.6</v>
      </c>
      <c r="C232" s="16">
        <v>0.159996824</v>
      </c>
      <c r="D232" s="1">
        <v>0</v>
      </c>
      <c r="E232" s="1">
        <v>0</v>
      </c>
      <c r="F232" s="1">
        <v>377.8</v>
      </c>
      <c r="G232" s="1">
        <v>12.6</v>
      </c>
      <c r="H232" s="1">
        <v>3.8</v>
      </c>
      <c r="I232" s="1">
        <v>201.5</v>
      </c>
      <c r="J232" s="1">
        <v>0</v>
      </c>
      <c r="K232" s="1">
        <v>28</v>
      </c>
      <c r="L232" s="1">
        <v>1</v>
      </c>
      <c r="M232" s="1">
        <v>2.4</v>
      </c>
      <c r="N232" s="1">
        <v>200</v>
      </c>
      <c r="O232" s="1">
        <v>0.785</v>
      </c>
      <c r="P232" s="1">
        <v>30</v>
      </c>
      <c r="Q232" s="1">
        <v>200</v>
      </c>
      <c r="R232" s="1">
        <v>6</v>
      </c>
      <c r="S232" s="1">
        <v>131.2</v>
      </c>
    </row>
    <row r="233" spans="1:19">
      <c r="A233" s="1">
        <v>881.6</v>
      </c>
      <c r="B233" s="1">
        <v>881.6</v>
      </c>
      <c r="C233" s="16">
        <v>0.159996824</v>
      </c>
      <c r="D233" s="1">
        <v>0</v>
      </c>
      <c r="E233" s="1">
        <v>0</v>
      </c>
      <c r="F233" s="1">
        <v>377.8</v>
      </c>
      <c r="G233" s="1">
        <v>12.6</v>
      </c>
      <c r="H233" s="1">
        <v>3.8</v>
      </c>
      <c r="I233" s="1">
        <v>201.5</v>
      </c>
      <c r="J233" s="1">
        <v>0</v>
      </c>
      <c r="K233" s="1">
        <v>28</v>
      </c>
      <c r="L233" s="1">
        <v>1</v>
      </c>
      <c r="M233" s="1">
        <v>2.4</v>
      </c>
      <c r="N233" s="1">
        <v>200</v>
      </c>
      <c r="O233" s="1">
        <v>0.785</v>
      </c>
      <c r="P233" s="1">
        <v>30</v>
      </c>
      <c r="Q233" s="1">
        <v>200</v>
      </c>
      <c r="R233" s="1">
        <v>6</v>
      </c>
      <c r="S233" s="1">
        <v>120.5</v>
      </c>
    </row>
    <row r="234" spans="1:19">
      <c r="A234" s="1">
        <v>881.6</v>
      </c>
      <c r="B234" s="1">
        <v>881.6</v>
      </c>
      <c r="C234" s="16">
        <v>0.159996824</v>
      </c>
      <c r="D234" s="1">
        <v>0</v>
      </c>
      <c r="E234" s="1">
        <v>0</v>
      </c>
      <c r="F234" s="1">
        <v>377.8</v>
      </c>
      <c r="G234" s="1">
        <v>12.6</v>
      </c>
      <c r="H234" s="1">
        <v>3.8</v>
      </c>
      <c r="I234" s="1">
        <v>201.5</v>
      </c>
      <c r="J234" s="1">
        <v>0</v>
      </c>
      <c r="K234" s="1">
        <v>28</v>
      </c>
      <c r="L234" s="1">
        <v>1</v>
      </c>
      <c r="M234" s="1">
        <v>2.4</v>
      </c>
      <c r="N234" s="1">
        <v>200</v>
      </c>
      <c r="O234" s="1">
        <v>0.785</v>
      </c>
      <c r="P234" s="1">
        <v>30</v>
      </c>
      <c r="Q234" s="1">
        <v>200</v>
      </c>
      <c r="R234" s="1">
        <v>6</v>
      </c>
      <c r="S234" s="1">
        <v>126.3</v>
      </c>
    </row>
    <row r="235" spans="1:19">
      <c r="A235" s="1">
        <v>881.6</v>
      </c>
      <c r="B235" s="1">
        <v>881.6</v>
      </c>
      <c r="C235" s="16">
        <v>0.159996824</v>
      </c>
      <c r="D235" s="1">
        <v>0</v>
      </c>
      <c r="E235" s="1">
        <v>0</v>
      </c>
      <c r="F235" s="1">
        <v>377.8</v>
      </c>
      <c r="G235" s="1">
        <v>12.6</v>
      </c>
      <c r="H235" s="1">
        <v>3.8</v>
      </c>
      <c r="I235" s="1">
        <v>201.5</v>
      </c>
      <c r="J235" s="1">
        <v>0.01</v>
      </c>
      <c r="K235" s="1">
        <v>28</v>
      </c>
      <c r="L235" s="1">
        <v>1</v>
      </c>
      <c r="M235" s="1">
        <v>2.4</v>
      </c>
      <c r="N235" s="1">
        <v>200</v>
      </c>
      <c r="O235" s="1">
        <v>0.785</v>
      </c>
      <c r="P235" s="1">
        <v>30</v>
      </c>
      <c r="Q235" s="1">
        <v>200</v>
      </c>
      <c r="R235" s="1">
        <v>6</v>
      </c>
      <c r="S235" s="1">
        <v>150.6</v>
      </c>
    </row>
    <row r="236" spans="1:19">
      <c r="A236" s="1">
        <v>881.6</v>
      </c>
      <c r="B236" s="1">
        <v>881.6</v>
      </c>
      <c r="C236" s="16">
        <v>0.159996824</v>
      </c>
      <c r="D236" s="1">
        <v>0</v>
      </c>
      <c r="E236" s="1">
        <v>0</v>
      </c>
      <c r="F236" s="1">
        <v>377.8</v>
      </c>
      <c r="G236" s="1">
        <v>12.6</v>
      </c>
      <c r="H236" s="1">
        <v>3.8</v>
      </c>
      <c r="I236" s="1">
        <v>201.5</v>
      </c>
      <c r="J236" s="1">
        <v>0.01</v>
      </c>
      <c r="K236" s="1">
        <v>28</v>
      </c>
      <c r="L236" s="1">
        <v>1</v>
      </c>
      <c r="M236" s="1">
        <v>2.4</v>
      </c>
      <c r="N236" s="1">
        <v>200</v>
      </c>
      <c r="O236" s="1">
        <v>0.785</v>
      </c>
      <c r="P236" s="1">
        <v>30</v>
      </c>
      <c r="Q236" s="1">
        <v>200</v>
      </c>
      <c r="R236" s="1">
        <v>6</v>
      </c>
      <c r="S236" s="1">
        <v>140.3</v>
      </c>
    </row>
    <row r="237" spans="1:19">
      <c r="A237" s="1">
        <v>881.6</v>
      </c>
      <c r="B237" s="1">
        <v>881.6</v>
      </c>
      <c r="C237" s="16">
        <v>0.159996824</v>
      </c>
      <c r="D237" s="1">
        <v>0</v>
      </c>
      <c r="E237" s="1">
        <v>0</v>
      </c>
      <c r="F237" s="1">
        <v>377.8</v>
      </c>
      <c r="G237" s="1">
        <v>12.6</v>
      </c>
      <c r="H237" s="1">
        <v>3.8</v>
      </c>
      <c r="I237" s="1">
        <v>201.5</v>
      </c>
      <c r="J237" s="1">
        <v>0.01</v>
      </c>
      <c r="K237" s="1">
        <v>28</v>
      </c>
      <c r="L237" s="1">
        <v>1</v>
      </c>
      <c r="M237" s="1">
        <v>2.4</v>
      </c>
      <c r="N237" s="1">
        <v>200</v>
      </c>
      <c r="O237" s="1">
        <v>0.785</v>
      </c>
      <c r="P237" s="1">
        <v>30</v>
      </c>
      <c r="Q237" s="1">
        <v>200</v>
      </c>
      <c r="R237" s="1">
        <v>6</v>
      </c>
      <c r="S237" s="1">
        <v>145.6</v>
      </c>
    </row>
    <row r="238" spans="1:19">
      <c r="A238" s="1">
        <v>881.6</v>
      </c>
      <c r="B238" s="1">
        <v>881.6</v>
      </c>
      <c r="C238" s="16">
        <v>0.159996824</v>
      </c>
      <c r="D238" s="1">
        <v>0</v>
      </c>
      <c r="E238" s="1">
        <v>0</v>
      </c>
      <c r="F238" s="1">
        <v>377.8</v>
      </c>
      <c r="G238" s="1">
        <v>12.6</v>
      </c>
      <c r="H238" s="1">
        <v>3.8</v>
      </c>
      <c r="I238" s="1">
        <v>201.5</v>
      </c>
      <c r="J238" s="1">
        <v>0.02</v>
      </c>
      <c r="K238" s="1">
        <v>28</v>
      </c>
      <c r="L238" s="1">
        <v>1</v>
      </c>
      <c r="M238" s="1">
        <v>2.4</v>
      </c>
      <c r="N238" s="1">
        <v>200</v>
      </c>
      <c r="O238" s="1">
        <v>0.785</v>
      </c>
      <c r="P238" s="1">
        <v>30</v>
      </c>
      <c r="Q238" s="1">
        <v>200</v>
      </c>
      <c r="R238" s="1">
        <v>6</v>
      </c>
      <c r="S238" s="1">
        <v>153.4</v>
      </c>
    </row>
    <row r="239" spans="1:19">
      <c r="A239" s="1">
        <v>881.6</v>
      </c>
      <c r="B239" s="1">
        <v>881.6</v>
      </c>
      <c r="C239" s="16">
        <v>0.159996824</v>
      </c>
      <c r="D239" s="1">
        <v>0</v>
      </c>
      <c r="E239" s="1">
        <v>0</v>
      </c>
      <c r="F239" s="1">
        <v>377.8</v>
      </c>
      <c r="G239" s="1">
        <v>12.6</v>
      </c>
      <c r="H239" s="1">
        <v>3.8</v>
      </c>
      <c r="I239" s="1">
        <v>201.5</v>
      </c>
      <c r="J239" s="1">
        <v>0.02</v>
      </c>
      <c r="K239" s="1">
        <v>28</v>
      </c>
      <c r="L239" s="1">
        <v>1</v>
      </c>
      <c r="M239" s="1">
        <v>2.4</v>
      </c>
      <c r="N239" s="1">
        <v>200</v>
      </c>
      <c r="O239" s="1">
        <v>0.785</v>
      </c>
      <c r="P239" s="1">
        <v>30</v>
      </c>
      <c r="Q239" s="1">
        <v>200</v>
      </c>
      <c r="R239" s="1">
        <v>6</v>
      </c>
      <c r="S239" s="1">
        <v>151.1</v>
      </c>
    </row>
    <row r="240" spans="1:19">
      <c r="A240" s="1">
        <v>881.6</v>
      </c>
      <c r="B240" s="1">
        <v>881.6</v>
      </c>
      <c r="C240" s="16">
        <v>0.159996824</v>
      </c>
      <c r="D240" s="1">
        <v>0</v>
      </c>
      <c r="E240" s="1">
        <v>0</v>
      </c>
      <c r="F240" s="1">
        <v>377.8</v>
      </c>
      <c r="G240" s="1">
        <v>12.6</v>
      </c>
      <c r="H240" s="1">
        <v>3.8</v>
      </c>
      <c r="I240" s="1">
        <v>201.5</v>
      </c>
      <c r="J240" s="1">
        <v>0.02</v>
      </c>
      <c r="K240" s="1">
        <v>28</v>
      </c>
      <c r="L240" s="1">
        <v>1</v>
      </c>
      <c r="M240" s="1">
        <v>2.4</v>
      </c>
      <c r="N240" s="1">
        <v>200</v>
      </c>
      <c r="O240" s="1">
        <v>0.785</v>
      </c>
      <c r="P240" s="1">
        <v>30</v>
      </c>
      <c r="Q240" s="1">
        <v>200</v>
      </c>
      <c r="R240" s="1">
        <v>6</v>
      </c>
      <c r="S240" s="1">
        <v>152.5</v>
      </c>
    </row>
    <row r="241" spans="1:19">
      <c r="A241" s="1">
        <v>881.6</v>
      </c>
      <c r="B241" s="1">
        <v>881.6</v>
      </c>
      <c r="C241" s="16">
        <v>0.159996824</v>
      </c>
      <c r="D241" s="1">
        <v>0</v>
      </c>
      <c r="E241" s="1">
        <v>0</v>
      </c>
      <c r="F241" s="1">
        <v>377.8</v>
      </c>
      <c r="G241" s="1">
        <v>12.6</v>
      </c>
      <c r="H241" s="1">
        <v>3.8</v>
      </c>
      <c r="I241" s="1">
        <v>201.5</v>
      </c>
      <c r="J241" s="1">
        <v>0</v>
      </c>
      <c r="K241" s="1">
        <v>28</v>
      </c>
      <c r="L241" s="1">
        <v>2</v>
      </c>
      <c r="M241" s="1">
        <v>2.4</v>
      </c>
      <c r="N241" s="1">
        <v>200</v>
      </c>
      <c r="O241" s="1">
        <v>0.785</v>
      </c>
      <c r="P241" s="1">
        <v>30</v>
      </c>
      <c r="Q241" s="1">
        <v>200</v>
      </c>
      <c r="R241" s="1">
        <v>6</v>
      </c>
      <c r="S241" s="1">
        <v>120.3</v>
      </c>
    </row>
    <row r="242" spans="1:19">
      <c r="A242" s="1">
        <v>881.6</v>
      </c>
      <c r="B242" s="1">
        <v>881.6</v>
      </c>
      <c r="C242" s="16">
        <v>0.159996824</v>
      </c>
      <c r="D242" s="1">
        <v>0</v>
      </c>
      <c r="E242" s="1">
        <v>0</v>
      </c>
      <c r="F242" s="1">
        <v>377.8</v>
      </c>
      <c r="G242" s="1">
        <v>12.6</v>
      </c>
      <c r="H242" s="1">
        <v>3.8</v>
      </c>
      <c r="I242" s="1">
        <v>201.5</v>
      </c>
      <c r="J242" s="1">
        <v>0</v>
      </c>
      <c r="K242" s="1">
        <v>28</v>
      </c>
      <c r="L242" s="1">
        <v>2</v>
      </c>
      <c r="M242" s="1">
        <v>2.4</v>
      </c>
      <c r="N242" s="1">
        <v>200</v>
      </c>
      <c r="O242" s="1">
        <v>0.785</v>
      </c>
      <c r="P242" s="1">
        <v>30</v>
      </c>
      <c r="Q242" s="1">
        <v>200</v>
      </c>
      <c r="R242" s="1">
        <v>6</v>
      </c>
      <c r="S242" s="1">
        <v>114.6</v>
      </c>
    </row>
    <row r="243" spans="1:19">
      <c r="A243" s="1">
        <v>881.6</v>
      </c>
      <c r="B243" s="1">
        <v>881.6</v>
      </c>
      <c r="C243" s="16">
        <v>0.159996824</v>
      </c>
      <c r="D243" s="1">
        <v>0</v>
      </c>
      <c r="E243" s="1">
        <v>0</v>
      </c>
      <c r="F243" s="1">
        <v>377.8</v>
      </c>
      <c r="G243" s="1">
        <v>12.6</v>
      </c>
      <c r="H243" s="1">
        <v>3.8</v>
      </c>
      <c r="I243" s="1">
        <v>201.5</v>
      </c>
      <c r="J243" s="1">
        <v>0</v>
      </c>
      <c r="K243" s="1">
        <v>28</v>
      </c>
      <c r="L243" s="1">
        <v>2</v>
      </c>
      <c r="M243" s="1">
        <v>2.4</v>
      </c>
      <c r="N243" s="1">
        <v>200</v>
      </c>
      <c r="O243" s="1">
        <v>0.785</v>
      </c>
      <c r="P243" s="1">
        <v>30</v>
      </c>
      <c r="Q243" s="1">
        <v>200</v>
      </c>
      <c r="R243" s="1">
        <v>6</v>
      </c>
      <c r="S243" s="1">
        <v>113.5</v>
      </c>
    </row>
    <row r="244" spans="1:19">
      <c r="A244" s="1">
        <v>881.6</v>
      </c>
      <c r="B244" s="1">
        <v>881.6</v>
      </c>
      <c r="C244" s="16">
        <v>0.159996824</v>
      </c>
      <c r="D244" s="1">
        <v>0</v>
      </c>
      <c r="E244" s="1">
        <v>0</v>
      </c>
      <c r="F244" s="1">
        <v>377.8</v>
      </c>
      <c r="G244" s="1">
        <v>12.6</v>
      </c>
      <c r="H244" s="1">
        <v>3.8</v>
      </c>
      <c r="I244" s="1">
        <v>201.5</v>
      </c>
      <c r="J244" s="1">
        <v>0.01</v>
      </c>
      <c r="K244" s="1">
        <v>28</v>
      </c>
      <c r="L244" s="1">
        <v>2</v>
      </c>
      <c r="M244" s="1">
        <v>2.4</v>
      </c>
      <c r="N244" s="1">
        <v>200</v>
      </c>
      <c r="O244" s="1">
        <v>0.785</v>
      </c>
      <c r="P244" s="1">
        <v>30</v>
      </c>
      <c r="Q244" s="1">
        <v>200</v>
      </c>
      <c r="R244" s="1">
        <v>6</v>
      </c>
      <c r="S244" s="1">
        <v>136.2</v>
      </c>
    </row>
    <row r="245" spans="1:19">
      <c r="A245" s="1">
        <v>881.6</v>
      </c>
      <c r="B245" s="1">
        <v>881.6</v>
      </c>
      <c r="C245" s="16">
        <v>0.159996824</v>
      </c>
      <c r="D245" s="1">
        <v>0</v>
      </c>
      <c r="E245" s="1">
        <v>0</v>
      </c>
      <c r="F245" s="1">
        <v>377.8</v>
      </c>
      <c r="G245" s="1">
        <v>12.6</v>
      </c>
      <c r="H245" s="1">
        <v>3.8</v>
      </c>
      <c r="I245" s="1">
        <v>201.5</v>
      </c>
      <c r="J245" s="1">
        <v>0.01</v>
      </c>
      <c r="K245" s="1">
        <v>28</v>
      </c>
      <c r="L245" s="1">
        <v>2</v>
      </c>
      <c r="M245" s="1">
        <v>2.4</v>
      </c>
      <c r="N245" s="1">
        <v>200</v>
      </c>
      <c r="O245" s="1">
        <v>0.785</v>
      </c>
      <c r="P245" s="1">
        <v>30</v>
      </c>
      <c r="Q245" s="1">
        <v>200</v>
      </c>
      <c r="R245" s="1">
        <v>6</v>
      </c>
      <c r="S245" s="1">
        <v>129.6</v>
      </c>
    </row>
    <row r="246" spans="1:19">
      <c r="A246" s="1">
        <v>881.6</v>
      </c>
      <c r="B246" s="1">
        <v>881.6</v>
      </c>
      <c r="C246" s="16">
        <v>0.159996824</v>
      </c>
      <c r="D246" s="1">
        <v>0</v>
      </c>
      <c r="E246" s="1">
        <v>0</v>
      </c>
      <c r="F246" s="1">
        <v>377.8</v>
      </c>
      <c r="G246" s="1">
        <v>12.6</v>
      </c>
      <c r="H246" s="1">
        <v>3.8</v>
      </c>
      <c r="I246" s="1">
        <v>201.5</v>
      </c>
      <c r="J246" s="1">
        <v>0.01</v>
      </c>
      <c r="K246" s="1">
        <v>28</v>
      </c>
      <c r="L246" s="1">
        <v>2</v>
      </c>
      <c r="M246" s="1">
        <v>2.4</v>
      </c>
      <c r="N246" s="1">
        <v>200</v>
      </c>
      <c r="O246" s="1">
        <v>0.785</v>
      </c>
      <c r="P246" s="1">
        <v>30</v>
      </c>
      <c r="Q246" s="1">
        <v>200</v>
      </c>
      <c r="R246" s="1">
        <v>6</v>
      </c>
      <c r="S246" s="1">
        <v>132.1</v>
      </c>
    </row>
    <row r="247" spans="1:19">
      <c r="A247" s="1">
        <v>881.6</v>
      </c>
      <c r="B247" s="1">
        <v>881.6</v>
      </c>
      <c r="C247" s="16">
        <v>0.159996824</v>
      </c>
      <c r="D247" s="1">
        <v>0</v>
      </c>
      <c r="E247" s="1">
        <v>0</v>
      </c>
      <c r="F247" s="1">
        <v>377.8</v>
      </c>
      <c r="G247" s="1">
        <v>12.6</v>
      </c>
      <c r="H247" s="1">
        <v>3.8</v>
      </c>
      <c r="I247" s="1">
        <v>201.5</v>
      </c>
      <c r="J247" s="1">
        <v>0.02</v>
      </c>
      <c r="K247" s="1">
        <v>28</v>
      </c>
      <c r="L247" s="1">
        <v>2</v>
      </c>
      <c r="M247" s="1">
        <v>2.4</v>
      </c>
      <c r="N247" s="1">
        <v>200</v>
      </c>
      <c r="O247" s="1">
        <v>0.785</v>
      </c>
      <c r="P247" s="1">
        <v>30</v>
      </c>
      <c r="Q247" s="1">
        <v>200</v>
      </c>
      <c r="R247" s="1">
        <v>6</v>
      </c>
      <c r="S247" s="1">
        <v>136.9</v>
      </c>
    </row>
    <row r="248" spans="1:19">
      <c r="A248" s="1">
        <v>881.6</v>
      </c>
      <c r="B248" s="1">
        <v>881.6</v>
      </c>
      <c r="C248" s="16">
        <v>0.159996824</v>
      </c>
      <c r="D248" s="1">
        <v>0</v>
      </c>
      <c r="E248" s="1">
        <v>0</v>
      </c>
      <c r="F248" s="1">
        <v>377.8</v>
      </c>
      <c r="G248" s="1">
        <v>12.6</v>
      </c>
      <c r="H248" s="1">
        <v>3.8</v>
      </c>
      <c r="I248" s="1">
        <v>201.5</v>
      </c>
      <c r="J248" s="1">
        <v>0.02</v>
      </c>
      <c r="K248" s="1">
        <v>28</v>
      </c>
      <c r="L248" s="1">
        <v>2</v>
      </c>
      <c r="M248" s="1">
        <v>2.4</v>
      </c>
      <c r="N248" s="1">
        <v>200</v>
      </c>
      <c r="O248" s="1">
        <v>0.785</v>
      </c>
      <c r="P248" s="1">
        <v>30</v>
      </c>
      <c r="Q248" s="1">
        <v>200</v>
      </c>
      <c r="R248" s="1">
        <v>6</v>
      </c>
      <c r="S248" s="1">
        <v>126.8</v>
      </c>
    </row>
    <row r="249" spans="1:19">
      <c r="A249" s="1">
        <v>881.6</v>
      </c>
      <c r="B249" s="1">
        <v>881.6</v>
      </c>
      <c r="C249" s="16">
        <v>0.159996824</v>
      </c>
      <c r="D249" s="1">
        <v>0</v>
      </c>
      <c r="E249" s="1">
        <v>0</v>
      </c>
      <c r="F249" s="1">
        <v>377.8</v>
      </c>
      <c r="G249" s="1">
        <v>12.6</v>
      </c>
      <c r="H249" s="1">
        <v>3.8</v>
      </c>
      <c r="I249" s="1">
        <v>201.5</v>
      </c>
      <c r="J249" s="1">
        <v>0.02</v>
      </c>
      <c r="K249" s="1">
        <v>28</v>
      </c>
      <c r="L249" s="1">
        <v>2</v>
      </c>
      <c r="M249" s="1">
        <v>2.4</v>
      </c>
      <c r="N249" s="1">
        <v>200</v>
      </c>
      <c r="O249" s="1">
        <v>0.785</v>
      </c>
      <c r="P249" s="1">
        <v>30</v>
      </c>
      <c r="Q249" s="1">
        <v>200</v>
      </c>
      <c r="R249" s="1">
        <v>6</v>
      </c>
      <c r="S249" s="1">
        <v>133.7</v>
      </c>
    </row>
    <row r="250" spans="1:19">
      <c r="A250" s="1">
        <v>881.6</v>
      </c>
      <c r="B250" s="1">
        <v>881.6</v>
      </c>
      <c r="C250" s="16">
        <v>0.159996824</v>
      </c>
      <c r="D250" s="1">
        <v>0</v>
      </c>
      <c r="E250" s="1">
        <v>0</v>
      </c>
      <c r="F250" s="1">
        <v>377.8</v>
      </c>
      <c r="G250" s="1">
        <v>12.6</v>
      </c>
      <c r="H250" s="1">
        <v>3.8</v>
      </c>
      <c r="I250" s="1">
        <v>201.5</v>
      </c>
      <c r="J250" s="1">
        <v>0</v>
      </c>
      <c r="K250" s="1">
        <v>28</v>
      </c>
      <c r="L250" s="1">
        <v>3</v>
      </c>
      <c r="M250" s="1">
        <v>2.4</v>
      </c>
      <c r="N250" s="1">
        <v>200</v>
      </c>
      <c r="O250" s="1">
        <v>0.785</v>
      </c>
      <c r="P250" s="1">
        <v>30</v>
      </c>
      <c r="Q250" s="1">
        <v>200</v>
      </c>
      <c r="R250" s="1">
        <v>6</v>
      </c>
      <c r="S250" s="1">
        <v>118.6</v>
      </c>
    </row>
    <row r="251" spans="1:19">
      <c r="A251" s="1">
        <v>881.6</v>
      </c>
      <c r="B251" s="1">
        <v>881.6</v>
      </c>
      <c r="C251" s="16">
        <v>0.159996824</v>
      </c>
      <c r="D251" s="1">
        <v>0</v>
      </c>
      <c r="E251" s="1">
        <v>0</v>
      </c>
      <c r="F251" s="1">
        <v>377.8</v>
      </c>
      <c r="G251" s="1">
        <v>12.6</v>
      </c>
      <c r="H251" s="1">
        <v>3.8</v>
      </c>
      <c r="I251" s="1">
        <v>201.5</v>
      </c>
      <c r="J251" s="1">
        <v>0</v>
      </c>
      <c r="K251" s="1">
        <v>28</v>
      </c>
      <c r="L251" s="1">
        <v>3</v>
      </c>
      <c r="M251" s="1">
        <v>2.4</v>
      </c>
      <c r="N251" s="1">
        <v>200</v>
      </c>
      <c r="O251" s="1">
        <v>0.785</v>
      </c>
      <c r="P251" s="1">
        <v>30</v>
      </c>
      <c r="Q251" s="1">
        <v>200</v>
      </c>
      <c r="R251" s="1">
        <v>6</v>
      </c>
      <c r="S251" s="1">
        <v>105.4</v>
      </c>
    </row>
    <row r="252" spans="1:19">
      <c r="A252" s="1">
        <v>881.6</v>
      </c>
      <c r="B252" s="1">
        <v>881.6</v>
      </c>
      <c r="C252" s="16">
        <v>0.159996824</v>
      </c>
      <c r="D252" s="1">
        <v>0</v>
      </c>
      <c r="E252" s="1">
        <v>0</v>
      </c>
      <c r="F252" s="1">
        <v>377.8</v>
      </c>
      <c r="G252" s="1">
        <v>12.6</v>
      </c>
      <c r="H252" s="1">
        <v>3.8</v>
      </c>
      <c r="I252" s="1">
        <v>201.5</v>
      </c>
      <c r="J252" s="1">
        <v>0</v>
      </c>
      <c r="K252" s="1">
        <v>28</v>
      </c>
      <c r="L252" s="1">
        <v>3</v>
      </c>
      <c r="M252" s="1">
        <v>2.4</v>
      </c>
      <c r="N252" s="1">
        <v>200</v>
      </c>
      <c r="O252" s="1">
        <v>0.785</v>
      </c>
      <c r="P252" s="1">
        <v>30</v>
      </c>
      <c r="Q252" s="1">
        <v>200</v>
      </c>
      <c r="R252" s="1">
        <v>6</v>
      </c>
      <c r="S252" s="1">
        <v>110.1</v>
      </c>
    </row>
    <row r="253" spans="1:19">
      <c r="A253" s="1">
        <v>881.6</v>
      </c>
      <c r="B253" s="1">
        <v>881.6</v>
      </c>
      <c r="C253" s="16">
        <v>0.159996824</v>
      </c>
      <c r="D253" s="1">
        <v>0</v>
      </c>
      <c r="E253" s="1">
        <v>0</v>
      </c>
      <c r="F253" s="1">
        <v>377.8</v>
      </c>
      <c r="G253" s="1">
        <v>12.6</v>
      </c>
      <c r="H253" s="1">
        <v>3.8</v>
      </c>
      <c r="I253" s="1">
        <v>201.5</v>
      </c>
      <c r="J253" s="1">
        <v>0.01</v>
      </c>
      <c r="K253" s="1">
        <v>28</v>
      </c>
      <c r="L253" s="1">
        <v>3</v>
      </c>
      <c r="M253" s="1">
        <v>2.4</v>
      </c>
      <c r="N253" s="1">
        <v>200</v>
      </c>
      <c r="O253" s="1">
        <v>0.785</v>
      </c>
      <c r="P253" s="1">
        <v>30</v>
      </c>
      <c r="Q253" s="1">
        <v>200</v>
      </c>
      <c r="R253" s="1">
        <v>6</v>
      </c>
      <c r="S253" s="1">
        <v>129.2</v>
      </c>
    </row>
    <row r="254" spans="1:19">
      <c r="A254" s="1">
        <v>881.6</v>
      </c>
      <c r="B254" s="1">
        <v>881.6</v>
      </c>
      <c r="C254" s="16">
        <v>0.159996824</v>
      </c>
      <c r="D254" s="1">
        <v>0</v>
      </c>
      <c r="E254" s="1">
        <v>0</v>
      </c>
      <c r="F254" s="1">
        <v>377.8</v>
      </c>
      <c r="G254" s="1">
        <v>12.6</v>
      </c>
      <c r="H254" s="1">
        <v>3.8</v>
      </c>
      <c r="I254" s="1">
        <v>201.5</v>
      </c>
      <c r="J254" s="1">
        <v>0.01</v>
      </c>
      <c r="K254" s="1">
        <v>28</v>
      </c>
      <c r="L254" s="1">
        <v>3</v>
      </c>
      <c r="M254" s="1">
        <v>2.4</v>
      </c>
      <c r="N254" s="1">
        <v>200</v>
      </c>
      <c r="O254" s="1">
        <v>0.785</v>
      </c>
      <c r="P254" s="1">
        <v>30</v>
      </c>
      <c r="Q254" s="1">
        <v>200</v>
      </c>
      <c r="R254" s="1">
        <v>6</v>
      </c>
      <c r="S254" s="1">
        <v>123.5</v>
      </c>
    </row>
    <row r="255" spans="1:19">
      <c r="A255" s="1">
        <v>881.6</v>
      </c>
      <c r="B255" s="1">
        <v>881.6</v>
      </c>
      <c r="C255" s="16">
        <v>0.159996824</v>
      </c>
      <c r="D255" s="1">
        <v>0</v>
      </c>
      <c r="E255" s="1">
        <v>0</v>
      </c>
      <c r="F255" s="1">
        <v>377.8</v>
      </c>
      <c r="G255" s="1">
        <v>12.6</v>
      </c>
      <c r="H255" s="1">
        <v>3.8</v>
      </c>
      <c r="I255" s="1">
        <v>201.5</v>
      </c>
      <c r="J255" s="1">
        <v>0.01</v>
      </c>
      <c r="K255" s="1">
        <v>28</v>
      </c>
      <c r="L255" s="1">
        <v>3</v>
      </c>
      <c r="M255" s="1">
        <v>2.4</v>
      </c>
      <c r="N255" s="1">
        <v>200</v>
      </c>
      <c r="O255" s="1">
        <v>0.785</v>
      </c>
      <c r="P255" s="1">
        <v>30</v>
      </c>
      <c r="Q255" s="1">
        <v>200</v>
      </c>
      <c r="R255" s="1">
        <v>6</v>
      </c>
      <c r="S255" s="1">
        <v>126.1</v>
      </c>
    </row>
    <row r="256" spans="1:19">
      <c r="A256" s="1">
        <v>881.6</v>
      </c>
      <c r="B256" s="1">
        <v>881.6</v>
      </c>
      <c r="C256" s="16">
        <v>0.159996824</v>
      </c>
      <c r="D256" s="1">
        <v>0</v>
      </c>
      <c r="E256" s="1">
        <v>0</v>
      </c>
      <c r="F256" s="1">
        <v>377.8</v>
      </c>
      <c r="G256" s="1">
        <v>12.6</v>
      </c>
      <c r="H256" s="1">
        <v>3.8</v>
      </c>
      <c r="I256" s="1">
        <v>201.5</v>
      </c>
      <c r="J256" s="1">
        <v>0.02</v>
      </c>
      <c r="K256" s="1">
        <v>28</v>
      </c>
      <c r="L256" s="1">
        <v>3</v>
      </c>
      <c r="M256" s="1">
        <v>2.4</v>
      </c>
      <c r="N256" s="1">
        <v>200</v>
      </c>
      <c r="O256" s="1">
        <v>0.785</v>
      </c>
      <c r="P256" s="1">
        <v>30</v>
      </c>
      <c r="Q256" s="1">
        <v>200</v>
      </c>
      <c r="R256" s="1">
        <v>6</v>
      </c>
      <c r="S256" s="1">
        <v>141.9</v>
      </c>
    </row>
    <row r="257" spans="1:19">
      <c r="A257" s="1">
        <v>881.6</v>
      </c>
      <c r="B257" s="1">
        <v>881.6</v>
      </c>
      <c r="C257" s="16">
        <v>0.159996824</v>
      </c>
      <c r="D257" s="1">
        <v>0</v>
      </c>
      <c r="E257" s="1">
        <v>0</v>
      </c>
      <c r="F257" s="1">
        <v>377.8</v>
      </c>
      <c r="G257" s="1">
        <v>12.6</v>
      </c>
      <c r="H257" s="1">
        <v>3.8</v>
      </c>
      <c r="I257" s="1">
        <v>201.5</v>
      </c>
      <c r="J257" s="1">
        <v>0.02</v>
      </c>
      <c r="K257" s="1">
        <v>28</v>
      </c>
      <c r="L257" s="1">
        <v>3</v>
      </c>
      <c r="M257" s="1">
        <v>2.4</v>
      </c>
      <c r="N257" s="1">
        <v>200</v>
      </c>
      <c r="O257" s="1">
        <v>0.785</v>
      </c>
      <c r="P257" s="1">
        <v>30</v>
      </c>
      <c r="Q257" s="1">
        <v>200</v>
      </c>
      <c r="R257" s="1">
        <v>6</v>
      </c>
      <c r="S257" s="1">
        <v>138.5</v>
      </c>
    </row>
    <row r="258" spans="1:19">
      <c r="A258" s="1">
        <v>881.6</v>
      </c>
      <c r="B258" s="1">
        <v>881.6</v>
      </c>
      <c r="C258" s="16">
        <v>0.159996824</v>
      </c>
      <c r="D258" s="1">
        <v>0</v>
      </c>
      <c r="E258" s="1">
        <v>0</v>
      </c>
      <c r="F258" s="1">
        <v>377.8</v>
      </c>
      <c r="G258" s="1">
        <v>12.6</v>
      </c>
      <c r="H258" s="1">
        <v>3.8</v>
      </c>
      <c r="I258" s="1">
        <v>201.5</v>
      </c>
      <c r="J258" s="1">
        <v>0.02</v>
      </c>
      <c r="K258" s="1">
        <v>28</v>
      </c>
      <c r="L258" s="1">
        <v>3</v>
      </c>
      <c r="M258" s="1">
        <v>2.4</v>
      </c>
      <c r="N258" s="1">
        <v>200</v>
      </c>
      <c r="O258" s="1">
        <v>0.785</v>
      </c>
      <c r="P258" s="1">
        <v>30</v>
      </c>
      <c r="Q258" s="1">
        <v>200</v>
      </c>
      <c r="R258" s="1">
        <v>6</v>
      </c>
      <c r="S258" s="1">
        <v>140.7</v>
      </c>
    </row>
    <row r="259" spans="1:19">
      <c r="A259" s="1">
        <v>450</v>
      </c>
      <c r="B259" s="1">
        <v>1085</v>
      </c>
      <c r="C259" s="1">
        <v>0.35</v>
      </c>
      <c r="D259" s="1">
        <v>0</v>
      </c>
      <c r="E259" s="1">
        <v>450</v>
      </c>
      <c r="F259" s="1">
        <v>0</v>
      </c>
      <c r="G259" s="1">
        <v>3.78</v>
      </c>
      <c r="H259" s="1">
        <v>0.91</v>
      </c>
      <c r="I259" s="1">
        <v>315</v>
      </c>
      <c r="J259" s="1">
        <v>0</v>
      </c>
      <c r="K259" s="1">
        <v>28</v>
      </c>
      <c r="L259" s="1">
        <v>3</v>
      </c>
      <c r="M259" s="1">
        <v>0.88</v>
      </c>
      <c r="N259" s="1">
        <v>13.2</v>
      </c>
      <c r="O259" s="1">
        <v>0.9</v>
      </c>
      <c r="P259" s="1">
        <v>0</v>
      </c>
      <c r="Q259" s="1">
        <v>35</v>
      </c>
      <c r="R259" s="1">
        <v>0</v>
      </c>
      <c r="S259" s="1">
        <v>35.2</v>
      </c>
    </row>
    <row r="260" spans="1:19">
      <c r="A260" s="1">
        <v>450</v>
      </c>
      <c r="B260" s="1">
        <v>1085</v>
      </c>
      <c r="C260" s="1">
        <v>0.35</v>
      </c>
      <c r="D260" s="1">
        <v>0</v>
      </c>
      <c r="E260" s="1">
        <v>450</v>
      </c>
      <c r="F260" s="1">
        <v>0</v>
      </c>
      <c r="G260" s="1">
        <v>3.78</v>
      </c>
      <c r="H260" s="1">
        <v>0.91</v>
      </c>
      <c r="I260" s="1">
        <v>315</v>
      </c>
      <c r="J260" s="1">
        <v>0</v>
      </c>
      <c r="K260" s="1">
        <v>28</v>
      </c>
      <c r="L260" s="1">
        <v>3</v>
      </c>
      <c r="M260" s="1">
        <v>0.88</v>
      </c>
      <c r="N260" s="1">
        <v>13.2</v>
      </c>
      <c r="O260" s="1">
        <v>0.9</v>
      </c>
      <c r="P260" s="1">
        <v>0</v>
      </c>
      <c r="Q260" s="1">
        <v>35</v>
      </c>
      <c r="R260" s="1">
        <v>0</v>
      </c>
      <c r="S260" s="1">
        <v>41.2</v>
      </c>
    </row>
    <row r="261" spans="1:19">
      <c r="A261" s="1">
        <v>450</v>
      </c>
      <c r="B261" s="1">
        <v>1085</v>
      </c>
      <c r="C261" s="1">
        <v>0.35</v>
      </c>
      <c r="D261" s="1">
        <v>0</v>
      </c>
      <c r="E261" s="1">
        <v>450</v>
      </c>
      <c r="F261" s="1">
        <v>0</v>
      </c>
      <c r="G261" s="1">
        <v>3.78</v>
      </c>
      <c r="H261" s="1">
        <v>0.91</v>
      </c>
      <c r="I261" s="1">
        <v>315</v>
      </c>
      <c r="J261" s="1">
        <v>0</v>
      </c>
      <c r="K261" s="1">
        <v>28</v>
      </c>
      <c r="L261" s="1">
        <v>3</v>
      </c>
      <c r="M261" s="1">
        <v>0.88</v>
      </c>
      <c r="N261" s="1">
        <v>13.2</v>
      </c>
      <c r="O261" s="1">
        <v>0.9</v>
      </c>
      <c r="P261" s="1">
        <v>0</v>
      </c>
      <c r="Q261" s="1">
        <v>35</v>
      </c>
      <c r="R261" s="1">
        <v>0</v>
      </c>
      <c r="S261" s="1">
        <v>28.1</v>
      </c>
    </row>
    <row r="262" spans="1:19">
      <c r="A262" s="1">
        <v>450</v>
      </c>
      <c r="B262" s="1">
        <v>1085</v>
      </c>
      <c r="C262" s="1">
        <v>0.35</v>
      </c>
      <c r="D262" s="1">
        <v>0</v>
      </c>
      <c r="E262" s="1">
        <v>450</v>
      </c>
      <c r="F262" s="1">
        <v>0</v>
      </c>
      <c r="G262" s="1">
        <v>3.78</v>
      </c>
      <c r="H262" s="1">
        <v>0.91</v>
      </c>
      <c r="I262" s="1">
        <v>315</v>
      </c>
      <c r="J262" s="1">
        <v>0.001</v>
      </c>
      <c r="K262" s="1">
        <v>28</v>
      </c>
      <c r="L262" s="1">
        <v>3</v>
      </c>
      <c r="M262" s="1">
        <v>0.88</v>
      </c>
      <c r="N262" s="1">
        <v>13.2</v>
      </c>
      <c r="O262" s="1">
        <v>0.9</v>
      </c>
      <c r="P262" s="19">
        <v>85.71428571</v>
      </c>
      <c r="Q262" s="1">
        <v>35</v>
      </c>
      <c r="R262" s="1">
        <v>3</v>
      </c>
      <c r="S262" s="1">
        <v>40.2</v>
      </c>
    </row>
    <row r="263" spans="1:19">
      <c r="A263" s="1">
        <v>450</v>
      </c>
      <c r="B263" s="1">
        <v>1085</v>
      </c>
      <c r="C263" s="1">
        <v>0.35</v>
      </c>
      <c r="D263" s="1">
        <v>0</v>
      </c>
      <c r="E263" s="1">
        <v>450</v>
      </c>
      <c r="F263" s="1">
        <v>0</v>
      </c>
      <c r="G263" s="1">
        <v>3.78</v>
      </c>
      <c r="H263" s="1">
        <v>0.91</v>
      </c>
      <c r="I263" s="1">
        <v>315</v>
      </c>
      <c r="J263" s="1">
        <v>0.001</v>
      </c>
      <c r="K263" s="1">
        <v>28</v>
      </c>
      <c r="L263" s="1">
        <v>3</v>
      </c>
      <c r="M263" s="1">
        <v>0.88</v>
      </c>
      <c r="N263" s="1">
        <v>13.2</v>
      </c>
      <c r="O263" s="1">
        <v>0.9</v>
      </c>
      <c r="P263" s="19">
        <v>85.71428571</v>
      </c>
      <c r="Q263" s="1">
        <v>35</v>
      </c>
      <c r="R263" s="1">
        <v>3</v>
      </c>
      <c r="S263" s="1">
        <v>36.1</v>
      </c>
    </row>
    <row r="264" spans="1:19">
      <c r="A264" s="1">
        <v>450</v>
      </c>
      <c r="B264" s="1">
        <v>1085</v>
      </c>
      <c r="C264" s="1">
        <v>0.35</v>
      </c>
      <c r="D264" s="1">
        <v>0</v>
      </c>
      <c r="E264" s="1">
        <v>450</v>
      </c>
      <c r="F264" s="1">
        <v>0</v>
      </c>
      <c r="G264" s="1">
        <v>3.78</v>
      </c>
      <c r="H264" s="1">
        <v>0.91</v>
      </c>
      <c r="I264" s="1">
        <v>315</v>
      </c>
      <c r="J264" s="1">
        <v>0.001</v>
      </c>
      <c r="K264" s="1">
        <v>28</v>
      </c>
      <c r="L264" s="1">
        <v>3</v>
      </c>
      <c r="M264" s="1">
        <v>0.88</v>
      </c>
      <c r="N264" s="1">
        <v>13.2</v>
      </c>
      <c r="O264" s="1">
        <v>0.9</v>
      </c>
      <c r="P264" s="19">
        <v>85.71428571</v>
      </c>
      <c r="Q264" s="1">
        <v>35</v>
      </c>
      <c r="R264" s="1">
        <v>3</v>
      </c>
      <c r="S264" s="1">
        <v>30</v>
      </c>
    </row>
    <row r="265" spans="1:19">
      <c r="A265" s="1">
        <v>450</v>
      </c>
      <c r="B265" s="1">
        <v>1085</v>
      </c>
      <c r="C265" s="1">
        <v>0.35</v>
      </c>
      <c r="D265" s="1">
        <v>0</v>
      </c>
      <c r="E265" s="1">
        <v>450</v>
      </c>
      <c r="F265" s="1">
        <v>0</v>
      </c>
      <c r="G265" s="1">
        <v>3.78</v>
      </c>
      <c r="H265" s="1">
        <v>0.91</v>
      </c>
      <c r="I265" s="1">
        <v>315</v>
      </c>
      <c r="J265" s="1">
        <v>0.003</v>
      </c>
      <c r="K265" s="1">
        <v>28</v>
      </c>
      <c r="L265" s="1">
        <v>3</v>
      </c>
      <c r="M265" s="1">
        <v>0.88</v>
      </c>
      <c r="N265" s="1">
        <v>13.2</v>
      </c>
      <c r="O265" s="1">
        <v>0.9</v>
      </c>
      <c r="P265" s="19">
        <v>85.71428571</v>
      </c>
      <c r="Q265" s="1">
        <v>35</v>
      </c>
      <c r="R265" s="1">
        <v>3</v>
      </c>
      <c r="S265" s="1">
        <v>38.5</v>
      </c>
    </row>
    <row r="266" spans="1:19">
      <c r="A266" s="1">
        <v>450</v>
      </c>
      <c r="B266" s="1">
        <v>1085</v>
      </c>
      <c r="C266" s="1">
        <v>0.35</v>
      </c>
      <c r="D266" s="1">
        <v>0</v>
      </c>
      <c r="E266" s="1">
        <v>450</v>
      </c>
      <c r="F266" s="1">
        <v>0</v>
      </c>
      <c r="G266" s="1">
        <v>3.78</v>
      </c>
      <c r="H266" s="1">
        <v>0.91</v>
      </c>
      <c r="I266" s="1">
        <v>315</v>
      </c>
      <c r="J266" s="1">
        <v>0.003</v>
      </c>
      <c r="K266" s="1">
        <v>28</v>
      </c>
      <c r="L266" s="1">
        <v>3</v>
      </c>
      <c r="M266" s="1">
        <v>0.88</v>
      </c>
      <c r="N266" s="1">
        <v>13.2</v>
      </c>
      <c r="O266" s="1">
        <v>0.9</v>
      </c>
      <c r="P266" s="19">
        <v>85.71428571</v>
      </c>
      <c r="Q266" s="1">
        <v>35</v>
      </c>
      <c r="R266" s="1">
        <v>3</v>
      </c>
      <c r="S266" s="1">
        <v>28.6</v>
      </c>
    </row>
    <row r="267" spans="1:19">
      <c r="A267" s="1">
        <v>450</v>
      </c>
      <c r="B267" s="1">
        <v>1085</v>
      </c>
      <c r="C267" s="1">
        <v>0.35</v>
      </c>
      <c r="D267" s="1">
        <v>0</v>
      </c>
      <c r="E267" s="1">
        <v>450</v>
      </c>
      <c r="F267" s="1">
        <v>0</v>
      </c>
      <c r="G267" s="1">
        <v>3.78</v>
      </c>
      <c r="H267" s="1">
        <v>0.91</v>
      </c>
      <c r="I267" s="1">
        <v>315</v>
      </c>
      <c r="J267" s="1">
        <v>0.003</v>
      </c>
      <c r="K267" s="1">
        <v>28</v>
      </c>
      <c r="L267" s="1">
        <v>3</v>
      </c>
      <c r="M267" s="1">
        <v>0.88</v>
      </c>
      <c r="N267" s="1">
        <v>13.2</v>
      </c>
      <c r="O267" s="1">
        <v>0.9</v>
      </c>
      <c r="P267" s="19">
        <v>85.71428571</v>
      </c>
      <c r="Q267" s="1">
        <v>35</v>
      </c>
      <c r="R267" s="1">
        <v>3</v>
      </c>
      <c r="S267" s="1">
        <v>34.3</v>
      </c>
    </row>
    <row r="268" spans="1:19">
      <c r="A268" s="1">
        <v>450</v>
      </c>
      <c r="B268" s="1">
        <v>1085</v>
      </c>
      <c r="C268" s="1">
        <v>0.35</v>
      </c>
      <c r="D268" s="1">
        <v>0</v>
      </c>
      <c r="E268" s="1">
        <v>450</v>
      </c>
      <c r="F268" s="1">
        <v>0</v>
      </c>
      <c r="G268" s="1">
        <v>3.78</v>
      </c>
      <c r="H268" s="1">
        <v>0.91</v>
      </c>
      <c r="I268" s="1">
        <v>315</v>
      </c>
      <c r="J268" s="1">
        <v>0.001</v>
      </c>
      <c r="K268" s="1">
        <v>28</v>
      </c>
      <c r="L268" s="1">
        <v>3</v>
      </c>
      <c r="M268" s="1">
        <v>0.88</v>
      </c>
      <c r="N268" s="1">
        <v>13.2</v>
      </c>
      <c r="O268" s="1">
        <v>0.9</v>
      </c>
      <c r="P268" s="19">
        <v>171.4285714</v>
      </c>
      <c r="Q268" s="1">
        <v>35</v>
      </c>
      <c r="R268" s="1">
        <v>6</v>
      </c>
      <c r="S268" s="1">
        <v>38.2</v>
      </c>
    </row>
    <row r="269" spans="1:19">
      <c r="A269" s="1">
        <v>450</v>
      </c>
      <c r="B269" s="1">
        <v>1085</v>
      </c>
      <c r="C269" s="1">
        <v>0.35</v>
      </c>
      <c r="D269" s="1">
        <v>0</v>
      </c>
      <c r="E269" s="1">
        <v>450</v>
      </c>
      <c r="F269" s="1">
        <v>0</v>
      </c>
      <c r="G269" s="1">
        <v>3.78</v>
      </c>
      <c r="H269" s="1">
        <v>0.91</v>
      </c>
      <c r="I269" s="1">
        <v>315</v>
      </c>
      <c r="J269" s="1">
        <v>0.001</v>
      </c>
      <c r="K269" s="1">
        <v>28</v>
      </c>
      <c r="L269" s="1">
        <v>3</v>
      </c>
      <c r="M269" s="1">
        <v>0.88</v>
      </c>
      <c r="N269" s="1">
        <v>13.2</v>
      </c>
      <c r="O269" s="1">
        <v>0.9</v>
      </c>
      <c r="P269" s="19">
        <v>171.4285714</v>
      </c>
      <c r="Q269" s="1">
        <v>35</v>
      </c>
      <c r="R269" s="1">
        <v>6</v>
      </c>
      <c r="S269" s="1">
        <v>41.6</v>
      </c>
    </row>
    <row r="270" spans="1:19">
      <c r="A270" s="1">
        <v>450</v>
      </c>
      <c r="B270" s="1">
        <v>1085</v>
      </c>
      <c r="C270" s="1">
        <v>0.35</v>
      </c>
      <c r="D270" s="1">
        <v>0</v>
      </c>
      <c r="E270" s="1">
        <v>450</v>
      </c>
      <c r="F270" s="1">
        <v>0</v>
      </c>
      <c r="G270" s="1">
        <v>3.78</v>
      </c>
      <c r="H270" s="1">
        <v>0.91</v>
      </c>
      <c r="I270" s="1">
        <v>315</v>
      </c>
      <c r="J270" s="1">
        <v>0.001</v>
      </c>
      <c r="K270" s="1">
        <v>28</v>
      </c>
      <c r="L270" s="1">
        <v>3</v>
      </c>
      <c r="M270" s="1">
        <v>0.88</v>
      </c>
      <c r="N270" s="1">
        <v>13.2</v>
      </c>
      <c r="O270" s="1">
        <v>0.9</v>
      </c>
      <c r="P270" s="19">
        <v>171.4285714</v>
      </c>
      <c r="Q270" s="1">
        <v>35</v>
      </c>
      <c r="R270" s="1">
        <v>6</v>
      </c>
      <c r="S270" s="1">
        <v>35.6</v>
      </c>
    </row>
    <row r="271" spans="1:19">
      <c r="A271" s="1">
        <v>450</v>
      </c>
      <c r="B271" s="1">
        <v>1085</v>
      </c>
      <c r="C271" s="1">
        <v>0.35</v>
      </c>
      <c r="D271" s="1">
        <v>0</v>
      </c>
      <c r="E271" s="1">
        <v>450</v>
      </c>
      <c r="F271" s="1">
        <v>0</v>
      </c>
      <c r="G271" s="1">
        <v>3.78</v>
      </c>
      <c r="H271" s="1">
        <v>0.91</v>
      </c>
      <c r="I271" s="1">
        <v>315</v>
      </c>
      <c r="J271" s="1">
        <v>0.006</v>
      </c>
      <c r="K271" s="1">
        <v>28</v>
      </c>
      <c r="L271" s="1">
        <v>3</v>
      </c>
      <c r="M271" s="1">
        <v>0.88</v>
      </c>
      <c r="N271" s="1">
        <v>13.2</v>
      </c>
      <c r="O271" s="1">
        <v>0.9</v>
      </c>
      <c r="P271" s="19">
        <v>171.4285714</v>
      </c>
      <c r="Q271" s="1">
        <v>35</v>
      </c>
      <c r="R271" s="1">
        <v>6</v>
      </c>
      <c r="S271" s="1">
        <v>38.2</v>
      </c>
    </row>
    <row r="272" spans="1:19">
      <c r="A272" s="1">
        <v>450</v>
      </c>
      <c r="B272" s="1">
        <v>1085</v>
      </c>
      <c r="C272" s="1">
        <v>0.35</v>
      </c>
      <c r="D272" s="1">
        <v>0</v>
      </c>
      <c r="E272" s="1">
        <v>450</v>
      </c>
      <c r="F272" s="1">
        <v>0</v>
      </c>
      <c r="G272" s="1">
        <v>3.78</v>
      </c>
      <c r="H272" s="1">
        <v>0.91</v>
      </c>
      <c r="I272" s="1">
        <v>315</v>
      </c>
      <c r="J272" s="1">
        <v>0.006</v>
      </c>
      <c r="K272" s="1">
        <v>28</v>
      </c>
      <c r="L272" s="1">
        <v>3</v>
      </c>
      <c r="M272" s="1">
        <v>0.88</v>
      </c>
      <c r="N272" s="1">
        <v>13.2</v>
      </c>
      <c r="O272" s="1">
        <v>0.9</v>
      </c>
      <c r="P272" s="19">
        <v>171.4285714</v>
      </c>
      <c r="Q272" s="1">
        <v>35</v>
      </c>
      <c r="R272" s="1">
        <v>6</v>
      </c>
      <c r="S272" s="1">
        <v>27.3</v>
      </c>
    </row>
    <row r="273" spans="1:19">
      <c r="A273" s="1">
        <v>450</v>
      </c>
      <c r="B273" s="1">
        <v>1085</v>
      </c>
      <c r="C273" s="1">
        <v>0.35</v>
      </c>
      <c r="D273" s="1">
        <v>0</v>
      </c>
      <c r="E273" s="1">
        <v>450</v>
      </c>
      <c r="F273" s="1">
        <v>0</v>
      </c>
      <c r="G273" s="1">
        <v>3.78</v>
      </c>
      <c r="H273" s="1">
        <v>0.91</v>
      </c>
      <c r="I273" s="1">
        <v>315</v>
      </c>
      <c r="J273" s="1">
        <v>0.006</v>
      </c>
      <c r="K273" s="1">
        <v>28</v>
      </c>
      <c r="L273" s="1">
        <v>3</v>
      </c>
      <c r="M273" s="1">
        <v>0.88</v>
      </c>
      <c r="N273" s="1">
        <v>13.2</v>
      </c>
      <c r="O273" s="1">
        <v>0.9</v>
      </c>
      <c r="P273" s="19">
        <v>171.4285714</v>
      </c>
      <c r="Q273" s="1">
        <v>35</v>
      </c>
      <c r="R273" s="1">
        <v>6</v>
      </c>
      <c r="S273" s="1">
        <v>33.2</v>
      </c>
    </row>
    <row r="274" spans="1:19">
      <c r="A274" s="1">
        <v>951.5</v>
      </c>
      <c r="B274" s="1">
        <v>951.5</v>
      </c>
      <c r="C274" s="16">
        <v>0.349973726</v>
      </c>
      <c r="D274" s="1">
        <v>0</v>
      </c>
      <c r="E274" s="1">
        <v>0</v>
      </c>
      <c r="F274" s="1">
        <v>0</v>
      </c>
      <c r="G274" s="1">
        <v>3.1</v>
      </c>
      <c r="H274" s="1">
        <v>0</v>
      </c>
      <c r="I274" s="1">
        <v>333</v>
      </c>
      <c r="J274" s="1">
        <v>0.0025</v>
      </c>
      <c r="K274" s="1">
        <v>28</v>
      </c>
      <c r="L274" s="1">
        <v>1</v>
      </c>
      <c r="M274" s="1">
        <v>2.9</v>
      </c>
      <c r="N274" s="1">
        <v>116</v>
      </c>
      <c r="O274" s="1">
        <v>0.97</v>
      </c>
      <c r="P274" s="1">
        <v>300</v>
      </c>
      <c r="Q274" s="1">
        <v>20</v>
      </c>
      <c r="R274" s="1">
        <v>6</v>
      </c>
      <c r="S274" s="1">
        <v>0</v>
      </c>
    </row>
    <row r="275" spans="1:19">
      <c r="A275" s="1">
        <v>951.5</v>
      </c>
      <c r="B275" s="1">
        <v>951.5</v>
      </c>
      <c r="C275" s="16">
        <v>0.349973726</v>
      </c>
      <c r="D275" s="1">
        <v>0</v>
      </c>
      <c r="E275" s="1">
        <v>0</v>
      </c>
      <c r="F275" s="1">
        <v>0</v>
      </c>
      <c r="G275" s="1">
        <v>3.1</v>
      </c>
      <c r="H275" s="1">
        <v>0</v>
      </c>
      <c r="I275" s="1">
        <v>333</v>
      </c>
      <c r="J275" s="1">
        <v>0.0025</v>
      </c>
      <c r="K275" s="1">
        <v>28</v>
      </c>
      <c r="L275" s="1">
        <v>2</v>
      </c>
      <c r="M275" s="1">
        <v>2.9</v>
      </c>
      <c r="N275" s="1">
        <v>116</v>
      </c>
      <c r="O275" s="1">
        <v>0.97</v>
      </c>
      <c r="P275" s="1">
        <v>300</v>
      </c>
      <c r="Q275" s="1">
        <v>20</v>
      </c>
      <c r="R275" s="1">
        <v>6</v>
      </c>
      <c r="S275" s="1">
        <v>0</v>
      </c>
    </row>
    <row r="276" spans="1:19">
      <c r="A276" s="1">
        <v>951.5</v>
      </c>
      <c r="B276" s="1">
        <v>951.5</v>
      </c>
      <c r="C276" s="16">
        <v>0.349973726</v>
      </c>
      <c r="D276" s="1">
        <v>0</v>
      </c>
      <c r="E276" s="1">
        <v>0</v>
      </c>
      <c r="F276" s="1">
        <v>0</v>
      </c>
      <c r="G276" s="1">
        <v>3.1</v>
      </c>
      <c r="H276" s="1">
        <v>0</v>
      </c>
      <c r="I276" s="1">
        <v>333</v>
      </c>
      <c r="J276" s="1">
        <v>0.0025</v>
      </c>
      <c r="K276" s="1">
        <v>28</v>
      </c>
      <c r="L276" s="1">
        <v>3</v>
      </c>
      <c r="M276" s="1">
        <v>2.9</v>
      </c>
      <c r="N276" s="1">
        <v>116</v>
      </c>
      <c r="O276" s="1">
        <v>0.97</v>
      </c>
      <c r="P276" s="1">
        <v>300</v>
      </c>
      <c r="Q276" s="1">
        <v>20</v>
      </c>
      <c r="R276" s="1">
        <v>6</v>
      </c>
      <c r="S276" s="1">
        <v>0</v>
      </c>
    </row>
    <row r="277" spans="1:19">
      <c r="A277" s="1">
        <v>951.5</v>
      </c>
      <c r="B277" s="1">
        <v>951.5</v>
      </c>
      <c r="C277" s="16">
        <v>0.349973726</v>
      </c>
      <c r="D277" s="1">
        <v>0</v>
      </c>
      <c r="E277" s="1">
        <v>0</v>
      </c>
      <c r="F277" s="1">
        <v>0</v>
      </c>
      <c r="G277" s="1">
        <v>3.1</v>
      </c>
      <c r="H277" s="1">
        <v>0</v>
      </c>
      <c r="I277" s="1">
        <v>333</v>
      </c>
      <c r="J277" s="1">
        <v>0.0025</v>
      </c>
      <c r="K277" s="1">
        <v>28</v>
      </c>
      <c r="L277" s="1">
        <v>1</v>
      </c>
      <c r="M277" s="1">
        <v>2.9</v>
      </c>
      <c r="N277" s="1">
        <v>116</v>
      </c>
      <c r="O277" s="1">
        <v>0.97</v>
      </c>
      <c r="P277" s="1">
        <v>600</v>
      </c>
      <c r="Q277" s="1">
        <v>20</v>
      </c>
      <c r="R277" s="1">
        <v>12</v>
      </c>
      <c r="S277" s="1">
        <v>0</v>
      </c>
    </row>
    <row r="278" spans="1:19">
      <c r="A278" s="1">
        <v>951.5</v>
      </c>
      <c r="B278" s="1">
        <v>951.5</v>
      </c>
      <c r="C278" s="16">
        <v>0.349973726</v>
      </c>
      <c r="D278" s="1">
        <v>0</v>
      </c>
      <c r="E278" s="1">
        <v>0</v>
      </c>
      <c r="F278" s="1">
        <v>0</v>
      </c>
      <c r="G278" s="1">
        <v>3.1</v>
      </c>
      <c r="H278" s="1">
        <v>0</v>
      </c>
      <c r="I278" s="1">
        <v>333</v>
      </c>
      <c r="J278" s="1">
        <v>0.0025</v>
      </c>
      <c r="K278" s="1">
        <v>28</v>
      </c>
      <c r="L278" s="1">
        <v>2</v>
      </c>
      <c r="M278" s="1">
        <v>2.9</v>
      </c>
      <c r="N278" s="1">
        <v>116</v>
      </c>
      <c r="O278" s="1">
        <v>0.97</v>
      </c>
      <c r="P278" s="1">
        <v>600</v>
      </c>
      <c r="Q278" s="1">
        <v>20</v>
      </c>
      <c r="R278" s="1">
        <v>12</v>
      </c>
      <c r="S278" s="1">
        <v>0</v>
      </c>
    </row>
    <row r="279" spans="1:19">
      <c r="A279" s="1">
        <v>951.5</v>
      </c>
      <c r="B279" s="1">
        <v>951.5</v>
      </c>
      <c r="C279" s="16">
        <v>0.349973726</v>
      </c>
      <c r="D279" s="1">
        <v>0</v>
      </c>
      <c r="E279" s="1">
        <v>0</v>
      </c>
      <c r="F279" s="1">
        <v>0</v>
      </c>
      <c r="G279" s="1">
        <v>3.1</v>
      </c>
      <c r="H279" s="1">
        <v>0</v>
      </c>
      <c r="I279" s="1">
        <v>333</v>
      </c>
      <c r="J279" s="1">
        <v>0.0025</v>
      </c>
      <c r="K279" s="1">
        <v>28</v>
      </c>
      <c r="L279" s="1">
        <v>3</v>
      </c>
      <c r="M279" s="1">
        <v>2.9</v>
      </c>
      <c r="N279" s="1">
        <v>116</v>
      </c>
      <c r="O279" s="1">
        <v>0.97</v>
      </c>
      <c r="P279" s="1">
        <v>600</v>
      </c>
      <c r="Q279" s="1">
        <v>20</v>
      </c>
      <c r="R279" s="1">
        <v>12</v>
      </c>
      <c r="S279" s="1">
        <v>0</v>
      </c>
    </row>
    <row r="280" spans="1:19">
      <c r="A280" s="1">
        <v>951.5</v>
      </c>
      <c r="B280" s="1">
        <v>951.5</v>
      </c>
      <c r="C280" s="16">
        <v>0.349973726</v>
      </c>
      <c r="D280" s="1">
        <v>0</v>
      </c>
      <c r="E280" s="1">
        <v>0</v>
      </c>
      <c r="F280" s="1">
        <v>0</v>
      </c>
      <c r="G280" s="1">
        <v>3.1</v>
      </c>
      <c r="H280" s="1">
        <v>0</v>
      </c>
      <c r="I280" s="1">
        <v>333</v>
      </c>
      <c r="J280" s="1">
        <v>0.005</v>
      </c>
      <c r="K280" s="1">
        <v>28</v>
      </c>
      <c r="L280" s="1">
        <v>1</v>
      </c>
      <c r="M280" s="1">
        <v>2.9</v>
      </c>
      <c r="N280" s="1">
        <v>116</v>
      </c>
      <c r="O280" s="1">
        <v>0.97</v>
      </c>
      <c r="P280" s="1">
        <v>300</v>
      </c>
      <c r="Q280" s="1">
        <v>20</v>
      </c>
      <c r="R280" s="1">
        <v>6</v>
      </c>
      <c r="S280" s="1">
        <v>0</v>
      </c>
    </row>
    <row r="281" spans="1:19">
      <c r="A281" s="1">
        <v>951.5</v>
      </c>
      <c r="B281" s="1">
        <v>951.5</v>
      </c>
      <c r="C281" s="16">
        <v>0.349973726</v>
      </c>
      <c r="D281" s="1">
        <v>0</v>
      </c>
      <c r="E281" s="1">
        <v>0</v>
      </c>
      <c r="F281" s="1">
        <v>0</v>
      </c>
      <c r="G281" s="1">
        <v>3.1</v>
      </c>
      <c r="H281" s="1">
        <v>0</v>
      </c>
      <c r="I281" s="1">
        <v>333</v>
      </c>
      <c r="J281" s="1">
        <v>0.005</v>
      </c>
      <c r="K281" s="1">
        <v>28</v>
      </c>
      <c r="L281" s="1">
        <v>2</v>
      </c>
      <c r="M281" s="1">
        <v>2.9</v>
      </c>
      <c r="N281" s="1">
        <v>116</v>
      </c>
      <c r="O281" s="1">
        <v>0.97</v>
      </c>
      <c r="P281" s="1">
        <v>300</v>
      </c>
      <c r="Q281" s="1">
        <v>20</v>
      </c>
      <c r="R281" s="1">
        <v>6</v>
      </c>
      <c r="S281" s="1">
        <v>0</v>
      </c>
    </row>
    <row r="282" spans="1:19">
      <c r="A282" s="1">
        <v>951.5</v>
      </c>
      <c r="B282" s="1">
        <v>951.5</v>
      </c>
      <c r="C282" s="16">
        <v>0.349973726</v>
      </c>
      <c r="D282" s="1">
        <v>0</v>
      </c>
      <c r="E282" s="1">
        <v>0</v>
      </c>
      <c r="F282" s="1">
        <v>0</v>
      </c>
      <c r="G282" s="1">
        <v>3.1</v>
      </c>
      <c r="H282" s="1">
        <v>0</v>
      </c>
      <c r="I282" s="1">
        <v>333</v>
      </c>
      <c r="J282" s="1">
        <v>0.005</v>
      </c>
      <c r="K282" s="1">
        <v>28</v>
      </c>
      <c r="L282" s="1">
        <v>3</v>
      </c>
      <c r="M282" s="1">
        <v>2.9</v>
      </c>
      <c r="N282" s="1">
        <v>116</v>
      </c>
      <c r="O282" s="1">
        <v>0.97</v>
      </c>
      <c r="P282" s="1">
        <v>300</v>
      </c>
      <c r="Q282" s="1">
        <v>20</v>
      </c>
      <c r="R282" s="1">
        <v>6</v>
      </c>
      <c r="S282" s="1">
        <v>0</v>
      </c>
    </row>
    <row r="283" spans="1:19">
      <c r="A283" s="1">
        <v>951.5</v>
      </c>
      <c r="B283" s="1">
        <v>951.5</v>
      </c>
      <c r="C283" s="16">
        <v>0.349973726</v>
      </c>
      <c r="D283" s="1">
        <v>0</v>
      </c>
      <c r="E283" s="1">
        <v>0</v>
      </c>
      <c r="F283" s="1">
        <v>0</v>
      </c>
      <c r="G283" s="1">
        <v>3.1</v>
      </c>
      <c r="H283" s="1">
        <v>0</v>
      </c>
      <c r="I283" s="1">
        <v>333</v>
      </c>
      <c r="J283" s="1">
        <v>0.005</v>
      </c>
      <c r="K283" s="1">
        <v>28</v>
      </c>
      <c r="L283" s="1">
        <v>1</v>
      </c>
      <c r="M283" s="1">
        <v>2.9</v>
      </c>
      <c r="N283" s="1">
        <v>116</v>
      </c>
      <c r="O283" s="1">
        <v>0.97</v>
      </c>
      <c r="P283" s="1">
        <v>600</v>
      </c>
      <c r="Q283" s="1">
        <v>20</v>
      </c>
      <c r="R283" s="1">
        <v>12</v>
      </c>
      <c r="S283" s="1">
        <v>0</v>
      </c>
    </row>
    <row r="284" spans="1:19">
      <c r="A284" s="1">
        <v>951.5</v>
      </c>
      <c r="B284" s="1">
        <v>951.5</v>
      </c>
      <c r="C284" s="16">
        <v>0.349973726</v>
      </c>
      <c r="D284" s="1">
        <v>0</v>
      </c>
      <c r="E284" s="1">
        <v>0</v>
      </c>
      <c r="F284" s="1">
        <v>0</v>
      </c>
      <c r="G284" s="1">
        <v>3.1</v>
      </c>
      <c r="H284" s="1">
        <v>0</v>
      </c>
      <c r="I284" s="1">
        <v>333</v>
      </c>
      <c r="J284" s="1">
        <v>0.005</v>
      </c>
      <c r="K284" s="1">
        <v>28</v>
      </c>
      <c r="L284" s="1">
        <v>2</v>
      </c>
      <c r="M284" s="1">
        <v>2.9</v>
      </c>
      <c r="N284" s="1">
        <v>116</v>
      </c>
      <c r="O284" s="1">
        <v>0.97</v>
      </c>
      <c r="P284" s="1">
        <v>600</v>
      </c>
      <c r="Q284" s="1">
        <v>20</v>
      </c>
      <c r="R284" s="1">
        <v>12</v>
      </c>
      <c r="S284" s="1">
        <v>0</v>
      </c>
    </row>
    <row r="285" spans="1:19">
      <c r="A285" s="1">
        <v>951.5</v>
      </c>
      <c r="B285" s="1">
        <v>951.5</v>
      </c>
      <c r="C285" s="16">
        <v>0.349973726</v>
      </c>
      <c r="D285" s="1">
        <v>0</v>
      </c>
      <c r="E285" s="1">
        <v>0</v>
      </c>
      <c r="F285" s="1">
        <v>0</v>
      </c>
      <c r="G285" s="1">
        <v>3.1</v>
      </c>
      <c r="H285" s="1">
        <v>0</v>
      </c>
      <c r="I285" s="1">
        <v>333</v>
      </c>
      <c r="J285" s="1">
        <v>0.005</v>
      </c>
      <c r="K285" s="1">
        <v>28</v>
      </c>
      <c r="L285" s="1">
        <v>3</v>
      </c>
      <c r="M285" s="1">
        <v>2.9</v>
      </c>
      <c r="N285" s="1">
        <v>116</v>
      </c>
      <c r="O285" s="1">
        <v>0.97</v>
      </c>
      <c r="P285" s="1">
        <v>600</v>
      </c>
      <c r="Q285" s="1">
        <v>20</v>
      </c>
      <c r="R285" s="1">
        <v>12</v>
      </c>
      <c r="S285" s="1">
        <v>0</v>
      </c>
    </row>
    <row r="286" spans="1:19">
      <c r="A286" s="1">
        <v>951.5</v>
      </c>
      <c r="B286" s="1">
        <v>951.5</v>
      </c>
      <c r="C286" s="16">
        <v>0.349973726</v>
      </c>
      <c r="D286" s="1">
        <v>0</v>
      </c>
      <c r="E286" s="1">
        <v>0</v>
      </c>
      <c r="F286" s="1">
        <v>0</v>
      </c>
      <c r="G286" s="1">
        <v>3.1</v>
      </c>
      <c r="H286" s="1">
        <v>0</v>
      </c>
      <c r="I286" s="1">
        <v>333</v>
      </c>
      <c r="J286" s="1">
        <v>0.01</v>
      </c>
      <c r="K286" s="1">
        <v>28</v>
      </c>
      <c r="L286" s="1">
        <v>1</v>
      </c>
      <c r="M286" s="1">
        <v>2.9</v>
      </c>
      <c r="N286" s="1">
        <v>116</v>
      </c>
      <c r="O286" s="1">
        <v>0.97</v>
      </c>
      <c r="P286" s="1">
        <v>300</v>
      </c>
      <c r="Q286" s="1">
        <v>20</v>
      </c>
      <c r="R286" s="1">
        <v>6</v>
      </c>
      <c r="S286" s="1">
        <v>0</v>
      </c>
    </row>
    <row r="287" spans="1:19">
      <c r="A287" s="1">
        <v>951.5</v>
      </c>
      <c r="B287" s="1">
        <v>951.5</v>
      </c>
      <c r="C287" s="16">
        <v>0.349973726</v>
      </c>
      <c r="D287" s="1">
        <v>0</v>
      </c>
      <c r="E287" s="1">
        <v>0</v>
      </c>
      <c r="F287" s="1">
        <v>0</v>
      </c>
      <c r="G287" s="1">
        <v>3.1</v>
      </c>
      <c r="H287" s="1">
        <v>0</v>
      </c>
      <c r="I287" s="1">
        <v>333</v>
      </c>
      <c r="J287" s="1">
        <v>0.01</v>
      </c>
      <c r="K287" s="1">
        <v>28</v>
      </c>
      <c r="L287" s="1">
        <v>2</v>
      </c>
      <c r="M287" s="1">
        <v>2.9</v>
      </c>
      <c r="N287" s="1">
        <v>116</v>
      </c>
      <c r="O287" s="1">
        <v>0.97</v>
      </c>
      <c r="P287" s="1">
        <v>300</v>
      </c>
      <c r="Q287" s="1">
        <v>20</v>
      </c>
      <c r="R287" s="1">
        <v>6</v>
      </c>
      <c r="S287" s="1">
        <v>0</v>
      </c>
    </row>
    <row r="288" spans="1:19">
      <c r="A288" s="1">
        <v>951.5</v>
      </c>
      <c r="B288" s="1">
        <v>951.5</v>
      </c>
      <c r="C288" s="16">
        <v>0.349973726</v>
      </c>
      <c r="D288" s="1">
        <v>0</v>
      </c>
      <c r="E288" s="1">
        <v>0</v>
      </c>
      <c r="F288" s="1">
        <v>0</v>
      </c>
      <c r="G288" s="1">
        <v>3.1</v>
      </c>
      <c r="H288" s="1">
        <v>0</v>
      </c>
      <c r="I288" s="1">
        <v>333</v>
      </c>
      <c r="J288" s="1">
        <v>0.01</v>
      </c>
      <c r="K288" s="1">
        <v>28</v>
      </c>
      <c r="L288" s="1">
        <v>3</v>
      </c>
      <c r="M288" s="1">
        <v>2.9</v>
      </c>
      <c r="N288" s="1">
        <v>116</v>
      </c>
      <c r="O288" s="1">
        <v>0.97</v>
      </c>
      <c r="P288" s="1">
        <v>300</v>
      </c>
      <c r="Q288" s="1">
        <v>20</v>
      </c>
      <c r="R288" s="1">
        <v>6</v>
      </c>
      <c r="S288" s="1">
        <v>0</v>
      </c>
    </row>
    <row r="289" spans="1:19">
      <c r="A289" s="1">
        <v>951.5</v>
      </c>
      <c r="B289" s="1">
        <v>951.5</v>
      </c>
      <c r="C289" s="16">
        <v>0.349973726</v>
      </c>
      <c r="D289" s="1">
        <v>0</v>
      </c>
      <c r="E289" s="1">
        <v>0</v>
      </c>
      <c r="F289" s="1">
        <v>0</v>
      </c>
      <c r="G289" s="1">
        <v>3.1</v>
      </c>
      <c r="H289" s="1">
        <v>0</v>
      </c>
      <c r="I289" s="1">
        <v>333</v>
      </c>
      <c r="J289" s="1">
        <v>0.01</v>
      </c>
      <c r="K289" s="1">
        <v>28</v>
      </c>
      <c r="L289" s="1">
        <v>1</v>
      </c>
      <c r="M289" s="1">
        <v>2.9</v>
      </c>
      <c r="N289" s="1">
        <v>116</v>
      </c>
      <c r="O289" s="1">
        <v>0.97</v>
      </c>
      <c r="P289" s="1">
        <v>600</v>
      </c>
      <c r="Q289" s="1">
        <v>20</v>
      </c>
      <c r="R289" s="1">
        <v>12</v>
      </c>
      <c r="S289" s="1">
        <v>0</v>
      </c>
    </row>
    <row r="290" spans="1:19">
      <c r="A290" s="1">
        <v>951.5</v>
      </c>
      <c r="B290" s="1">
        <v>951.5</v>
      </c>
      <c r="C290" s="16">
        <v>0.349973726</v>
      </c>
      <c r="D290" s="1">
        <v>0</v>
      </c>
      <c r="E290" s="1">
        <v>0</v>
      </c>
      <c r="F290" s="1">
        <v>0</v>
      </c>
      <c r="G290" s="1">
        <v>3.1</v>
      </c>
      <c r="H290" s="1">
        <v>0</v>
      </c>
      <c r="I290" s="1">
        <v>333</v>
      </c>
      <c r="J290" s="1">
        <v>0.01</v>
      </c>
      <c r="K290" s="1">
        <v>28</v>
      </c>
      <c r="L290" s="1">
        <v>2</v>
      </c>
      <c r="M290" s="1">
        <v>2.9</v>
      </c>
      <c r="N290" s="1">
        <v>116</v>
      </c>
      <c r="O290" s="1">
        <v>0.97</v>
      </c>
      <c r="P290" s="1">
        <v>600</v>
      </c>
      <c r="Q290" s="1">
        <v>20</v>
      </c>
      <c r="R290" s="1">
        <v>12</v>
      </c>
      <c r="S290" s="1">
        <v>0</v>
      </c>
    </row>
    <row r="291" spans="1:19">
      <c r="A291" s="1">
        <v>951.5</v>
      </c>
      <c r="B291" s="1">
        <v>951.5</v>
      </c>
      <c r="C291" s="16">
        <v>0.349973726</v>
      </c>
      <c r="D291" s="1">
        <v>0</v>
      </c>
      <c r="E291" s="1">
        <v>0</v>
      </c>
      <c r="F291" s="1">
        <v>0</v>
      </c>
      <c r="G291" s="1">
        <v>3.1</v>
      </c>
      <c r="H291" s="1">
        <v>0</v>
      </c>
      <c r="I291" s="1">
        <v>333</v>
      </c>
      <c r="J291" s="1">
        <v>0.01</v>
      </c>
      <c r="K291" s="1">
        <v>28</v>
      </c>
      <c r="L291" s="1">
        <v>3</v>
      </c>
      <c r="M291" s="1">
        <v>2.9</v>
      </c>
      <c r="N291" s="1">
        <v>116</v>
      </c>
      <c r="O291" s="1">
        <v>0.97</v>
      </c>
      <c r="P291" s="1">
        <v>600</v>
      </c>
      <c r="Q291" s="1">
        <v>20</v>
      </c>
      <c r="R291" s="1">
        <v>12</v>
      </c>
      <c r="S291" s="1">
        <v>0</v>
      </c>
    </row>
    <row r="292" spans="1:19">
      <c r="A292" s="1">
        <v>951.5</v>
      </c>
      <c r="B292" s="1">
        <v>951.5</v>
      </c>
      <c r="C292" s="16">
        <v>0.349973726</v>
      </c>
      <c r="D292" s="1">
        <v>0</v>
      </c>
      <c r="E292" s="1">
        <v>0</v>
      </c>
      <c r="F292" s="1">
        <v>0</v>
      </c>
      <c r="G292" s="1">
        <v>3.1</v>
      </c>
      <c r="H292" s="1">
        <v>0</v>
      </c>
      <c r="I292" s="1">
        <v>333</v>
      </c>
      <c r="J292" s="1">
        <v>0.014</v>
      </c>
      <c r="K292" s="1">
        <v>28</v>
      </c>
      <c r="L292" s="1">
        <v>1</v>
      </c>
      <c r="M292" s="1">
        <v>2.9</v>
      </c>
      <c r="N292" s="1">
        <v>116</v>
      </c>
      <c r="O292" s="1">
        <v>0.97</v>
      </c>
      <c r="P292" s="1">
        <v>300</v>
      </c>
      <c r="Q292" s="1">
        <v>20</v>
      </c>
      <c r="R292" s="1">
        <v>6</v>
      </c>
      <c r="S292" s="1">
        <v>0</v>
      </c>
    </row>
    <row r="293" spans="1:19">
      <c r="A293" s="1">
        <v>951.5</v>
      </c>
      <c r="B293" s="1">
        <v>951.5</v>
      </c>
      <c r="C293" s="16">
        <v>0.349973726</v>
      </c>
      <c r="D293" s="1">
        <v>0</v>
      </c>
      <c r="E293" s="1">
        <v>0</v>
      </c>
      <c r="F293" s="1">
        <v>0</v>
      </c>
      <c r="G293" s="1">
        <v>3.1</v>
      </c>
      <c r="H293" s="1">
        <v>0</v>
      </c>
      <c r="I293" s="1">
        <v>333</v>
      </c>
      <c r="J293" s="1">
        <v>0.014</v>
      </c>
      <c r="K293" s="1">
        <v>28</v>
      </c>
      <c r="L293" s="1">
        <v>2</v>
      </c>
      <c r="M293" s="1">
        <v>2.9</v>
      </c>
      <c r="N293" s="1">
        <v>116</v>
      </c>
      <c r="O293" s="1">
        <v>0.97</v>
      </c>
      <c r="P293" s="1">
        <v>300</v>
      </c>
      <c r="Q293" s="1">
        <v>20</v>
      </c>
      <c r="R293" s="1">
        <v>6</v>
      </c>
      <c r="S293" s="1">
        <v>0</v>
      </c>
    </row>
    <row r="294" spans="1:19">
      <c r="A294" s="1">
        <v>951.5</v>
      </c>
      <c r="B294" s="1">
        <v>951.5</v>
      </c>
      <c r="C294" s="16">
        <v>0.349973726</v>
      </c>
      <c r="D294" s="1">
        <v>0</v>
      </c>
      <c r="E294" s="1">
        <v>0</v>
      </c>
      <c r="F294" s="1">
        <v>0</v>
      </c>
      <c r="G294" s="1">
        <v>3.1</v>
      </c>
      <c r="H294" s="1">
        <v>0</v>
      </c>
      <c r="I294" s="1">
        <v>333</v>
      </c>
      <c r="J294" s="1">
        <v>0.014</v>
      </c>
      <c r="K294" s="1">
        <v>28</v>
      </c>
      <c r="L294" s="1">
        <v>3</v>
      </c>
      <c r="M294" s="1">
        <v>2.9</v>
      </c>
      <c r="N294" s="1">
        <v>116</v>
      </c>
      <c r="O294" s="1">
        <v>0.97</v>
      </c>
      <c r="P294" s="1">
        <v>300</v>
      </c>
      <c r="Q294" s="1">
        <v>20</v>
      </c>
      <c r="R294" s="1">
        <v>6</v>
      </c>
      <c r="S294" s="1">
        <v>0</v>
      </c>
    </row>
    <row r="295" spans="1:19">
      <c r="A295" s="1">
        <v>951.5</v>
      </c>
      <c r="B295" s="1">
        <v>951.5</v>
      </c>
      <c r="C295" s="16">
        <v>0.349973726</v>
      </c>
      <c r="D295" s="1">
        <v>0</v>
      </c>
      <c r="E295" s="1">
        <v>0</v>
      </c>
      <c r="F295" s="1">
        <v>0</v>
      </c>
      <c r="G295" s="1">
        <v>3.1</v>
      </c>
      <c r="H295" s="1">
        <v>0</v>
      </c>
      <c r="I295" s="1">
        <v>333</v>
      </c>
      <c r="J295" s="1">
        <v>0.014</v>
      </c>
      <c r="K295" s="1">
        <v>28</v>
      </c>
      <c r="L295" s="1">
        <v>1</v>
      </c>
      <c r="M295" s="1">
        <v>2.9</v>
      </c>
      <c r="N295" s="1">
        <v>116</v>
      </c>
      <c r="O295" s="1">
        <v>0.97</v>
      </c>
      <c r="P295" s="1">
        <v>600</v>
      </c>
      <c r="Q295" s="1">
        <v>20</v>
      </c>
      <c r="R295" s="1">
        <v>12</v>
      </c>
      <c r="S295" s="1">
        <v>0</v>
      </c>
    </row>
    <row r="296" spans="1:19">
      <c r="A296" s="1">
        <v>951.5</v>
      </c>
      <c r="B296" s="1">
        <v>951.5</v>
      </c>
      <c r="C296" s="16">
        <v>0.349973726</v>
      </c>
      <c r="D296" s="1">
        <v>0</v>
      </c>
      <c r="E296" s="1">
        <v>0</v>
      </c>
      <c r="F296" s="1">
        <v>0</v>
      </c>
      <c r="G296" s="1">
        <v>3.1</v>
      </c>
      <c r="H296" s="1">
        <v>0</v>
      </c>
      <c r="I296" s="1">
        <v>333</v>
      </c>
      <c r="J296" s="1">
        <v>0.014</v>
      </c>
      <c r="K296" s="1">
        <v>28</v>
      </c>
      <c r="L296" s="1">
        <v>2</v>
      </c>
      <c r="M296" s="1">
        <v>2.9</v>
      </c>
      <c r="N296" s="1">
        <v>116</v>
      </c>
      <c r="O296" s="1">
        <v>0.97</v>
      </c>
      <c r="P296" s="1">
        <v>600</v>
      </c>
      <c r="Q296" s="1">
        <v>20</v>
      </c>
      <c r="R296" s="1">
        <v>12</v>
      </c>
      <c r="S296" s="1">
        <v>0</v>
      </c>
    </row>
    <row r="297" spans="1:19">
      <c r="A297" s="1">
        <v>951.5</v>
      </c>
      <c r="B297" s="1">
        <v>951.5</v>
      </c>
      <c r="C297" s="16">
        <v>0.349973726</v>
      </c>
      <c r="D297" s="1">
        <v>0</v>
      </c>
      <c r="E297" s="1">
        <v>0</v>
      </c>
      <c r="F297" s="1">
        <v>0</v>
      </c>
      <c r="G297" s="1">
        <v>3.1</v>
      </c>
      <c r="H297" s="1">
        <v>0</v>
      </c>
      <c r="I297" s="1">
        <v>333</v>
      </c>
      <c r="J297" s="1">
        <v>0.014</v>
      </c>
      <c r="K297" s="1">
        <v>28</v>
      </c>
      <c r="L297" s="1">
        <v>3</v>
      </c>
      <c r="M297" s="1">
        <v>2.9</v>
      </c>
      <c r="N297" s="1">
        <v>116</v>
      </c>
      <c r="O297" s="1">
        <v>0.97</v>
      </c>
      <c r="P297" s="1">
        <v>600</v>
      </c>
      <c r="Q297" s="1">
        <v>20</v>
      </c>
      <c r="R297" s="1">
        <v>12</v>
      </c>
      <c r="S297" s="1">
        <v>0</v>
      </c>
    </row>
    <row r="298" spans="1:19">
      <c r="A298" s="20">
        <v>470</v>
      </c>
      <c r="B298" s="20">
        <v>318</v>
      </c>
      <c r="C298" s="21">
        <v>0.271851851851852</v>
      </c>
      <c r="D298" s="20">
        <v>0</v>
      </c>
      <c r="E298" s="20">
        <v>263</v>
      </c>
      <c r="F298" s="20">
        <v>33</v>
      </c>
      <c r="G298" s="22">
        <v>3.06</v>
      </c>
      <c r="H298" s="22">
        <v>3.45</v>
      </c>
      <c r="I298" s="23">
        <v>0</v>
      </c>
      <c r="J298" s="24">
        <v>2</v>
      </c>
      <c r="K298" s="25">
        <v>28</v>
      </c>
      <c r="L298" s="26">
        <v>1</v>
      </c>
      <c r="M298" s="23">
        <v>2.9</v>
      </c>
      <c r="N298" s="23">
        <v>116</v>
      </c>
      <c r="O298" s="23">
        <v>0.97</v>
      </c>
      <c r="P298" s="25">
        <v>200</v>
      </c>
      <c r="Q298" s="20">
        <v>40</v>
      </c>
      <c r="R298" s="20">
        <v>8</v>
      </c>
      <c r="S298" s="27">
        <v>44.2</v>
      </c>
    </row>
    <row r="299" spans="1:19">
      <c r="A299" s="20">
        <v>470</v>
      </c>
      <c r="B299" s="20">
        <v>318</v>
      </c>
      <c r="C299" s="21">
        <v>0.271851851851852</v>
      </c>
      <c r="D299" s="20">
        <v>0</v>
      </c>
      <c r="E299" s="20">
        <v>263</v>
      </c>
      <c r="F299" s="20">
        <v>33</v>
      </c>
      <c r="G299" s="22">
        <v>3.06</v>
      </c>
      <c r="H299" s="22">
        <v>3.45</v>
      </c>
      <c r="I299" s="23">
        <v>0</v>
      </c>
      <c r="J299" s="24">
        <v>2</v>
      </c>
      <c r="K299" s="25">
        <v>28</v>
      </c>
      <c r="L299" s="26">
        <v>3</v>
      </c>
      <c r="M299" s="23">
        <v>2.9</v>
      </c>
      <c r="N299" s="23">
        <v>116</v>
      </c>
      <c r="O299" s="23">
        <v>0.97</v>
      </c>
      <c r="P299" s="25">
        <v>200</v>
      </c>
      <c r="Q299" s="20">
        <v>40</v>
      </c>
      <c r="R299" s="20">
        <v>8</v>
      </c>
      <c r="S299" s="27">
        <v>46.5</v>
      </c>
    </row>
    <row r="300" spans="1:19">
      <c r="A300" s="20">
        <v>470</v>
      </c>
      <c r="B300" s="20">
        <v>318</v>
      </c>
      <c r="C300" s="21">
        <v>0.296296296296296</v>
      </c>
      <c r="D300" s="20">
        <v>0</v>
      </c>
      <c r="E300" s="20">
        <v>263</v>
      </c>
      <c r="F300" s="20">
        <v>33</v>
      </c>
      <c r="G300" s="22">
        <v>2.68</v>
      </c>
      <c r="H300" s="22">
        <v>3.06</v>
      </c>
      <c r="I300" s="23">
        <v>0</v>
      </c>
      <c r="J300" s="24">
        <v>2</v>
      </c>
      <c r="K300" s="25">
        <v>28</v>
      </c>
      <c r="L300" s="26">
        <v>1</v>
      </c>
      <c r="M300" s="23">
        <v>2.9</v>
      </c>
      <c r="N300" s="23">
        <v>116</v>
      </c>
      <c r="O300" s="23">
        <v>0.97</v>
      </c>
      <c r="P300" s="25">
        <v>200</v>
      </c>
      <c r="Q300" s="20">
        <v>40</v>
      </c>
      <c r="R300" s="20">
        <v>8</v>
      </c>
      <c r="S300" s="27">
        <v>41.2</v>
      </c>
    </row>
    <row r="301" spans="1:19">
      <c r="A301" s="20">
        <v>470</v>
      </c>
      <c r="B301" s="20">
        <v>318</v>
      </c>
      <c r="C301" s="21">
        <v>0.296296296296296</v>
      </c>
      <c r="D301" s="20">
        <v>0</v>
      </c>
      <c r="E301" s="20">
        <v>263</v>
      </c>
      <c r="F301" s="20">
        <v>33</v>
      </c>
      <c r="G301" s="22">
        <v>2.68</v>
      </c>
      <c r="H301" s="22">
        <v>3.06</v>
      </c>
      <c r="I301" s="23">
        <v>0</v>
      </c>
      <c r="J301" s="24">
        <v>2</v>
      </c>
      <c r="K301" s="25">
        <v>28</v>
      </c>
      <c r="L301" s="26">
        <v>3</v>
      </c>
      <c r="M301" s="23">
        <v>2.9</v>
      </c>
      <c r="N301" s="23">
        <v>116</v>
      </c>
      <c r="O301" s="23">
        <v>0.97</v>
      </c>
      <c r="P301" s="25">
        <v>200</v>
      </c>
      <c r="Q301" s="20">
        <v>40</v>
      </c>
      <c r="R301" s="20">
        <v>8</v>
      </c>
      <c r="S301" s="27">
        <v>43.6</v>
      </c>
    </row>
    <row r="302" spans="1:19">
      <c r="A302" s="20">
        <v>506</v>
      </c>
      <c r="B302" s="20">
        <v>298</v>
      </c>
      <c r="C302" s="21">
        <v>0.26453488372093</v>
      </c>
      <c r="D302" s="20">
        <v>0</v>
      </c>
      <c r="E302" s="28">
        <v>329</v>
      </c>
      <c r="F302" s="28">
        <v>73</v>
      </c>
      <c r="G302" s="22">
        <v>3.65</v>
      </c>
      <c r="H302" s="22">
        <v>5.46</v>
      </c>
      <c r="I302" s="23">
        <v>0</v>
      </c>
      <c r="J302" s="24">
        <v>2</v>
      </c>
      <c r="K302" s="25">
        <v>28</v>
      </c>
      <c r="L302" s="26">
        <v>1</v>
      </c>
      <c r="M302" s="23">
        <v>2.9</v>
      </c>
      <c r="N302" s="23">
        <v>116</v>
      </c>
      <c r="O302" s="23">
        <v>0.97</v>
      </c>
      <c r="P302" s="25">
        <v>200</v>
      </c>
      <c r="Q302" s="20">
        <v>40</v>
      </c>
      <c r="R302" s="20">
        <v>8</v>
      </c>
      <c r="S302" s="27">
        <v>50.9</v>
      </c>
    </row>
    <row r="303" spans="1:19">
      <c r="A303" s="20">
        <v>506</v>
      </c>
      <c r="B303" s="20">
        <v>298</v>
      </c>
      <c r="C303" s="21">
        <v>0.26453488372093</v>
      </c>
      <c r="D303" s="20">
        <v>0</v>
      </c>
      <c r="E303" s="28">
        <v>329</v>
      </c>
      <c r="F303" s="28">
        <v>73</v>
      </c>
      <c r="G303" s="22">
        <v>3.65</v>
      </c>
      <c r="H303" s="22">
        <v>5.46</v>
      </c>
      <c r="I303" s="23">
        <v>0</v>
      </c>
      <c r="J303" s="24">
        <v>2</v>
      </c>
      <c r="K303" s="25">
        <v>28</v>
      </c>
      <c r="L303" s="26">
        <v>3</v>
      </c>
      <c r="M303" s="23">
        <v>2.9</v>
      </c>
      <c r="N303" s="23">
        <v>116</v>
      </c>
      <c r="O303" s="23">
        <v>0.97</v>
      </c>
      <c r="P303" s="25">
        <v>200</v>
      </c>
      <c r="Q303" s="20">
        <v>40</v>
      </c>
      <c r="R303" s="20">
        <v>8</v>
      </c>
      <c r="S303" s="27">
        <v>52.3</v>
      </c>
    </row>
    <row r="304" spans="1:19">
      <c r="A304" s="20">
        <v>309</v>
      </c>
      <c r="B304" s="20">
        <v>345</v>
      </c>
      <c r="C304" s="21">
        <v>0.240449438202247</v>
      </c>
      <c r="D304" s="20">
        <v>1026</v>
      </c>
      <c r="E304" s="20">
        <v>0</v>
      </c>
      <c r="F304" s="20">
        <v>0</v>
      </c>
      <c r="G304" s="20">
        <v>3</v>
      </c>
      <c r="H304" s="20">
        <v>2</v>
      </c>
      <c r="I304" s="23">
        <v>0</v>
      </c>
      <c r="J304" s="24">
        <v>2</v>
      </c>
      <c r="K304" s="25">
        <v>1</v>
      </c>
      <c r="L304" s="26">
        <v>1</v>
      </c>
      <c r="M304" s="23">
        <v>2.9</v>
      </c>
      <c r="N304" s="23">
        <v>116</v>
      </c>
      <c r="O304" s="23">
        <v>0.97</v>
      </c>
      <c r="P304" s="25">
        <v>205.128205128205</v>
      </c>
      <c r="Q304" s="20">
        <v>39</v>
      </c>
      <c r="R304" s="20">
        <v>8</v>
      </c>
      <c r="S304" s="27">
        <v>15.17015</v>
      </c>
    </row>
    <row r="305" spans="1:19">
      <c r="A305" s="20">
        <v>309</v>
      </c>
      <c r="B305" s="20">
        <v>345</v>
      </c>
      <c r="C305" s="21">
        <v>0.240449438202247</v>
      </c>
      <c r="D305" s="20">
        <v>1026</v>
      </c>
      <c r="E305" s="20">
        <v>0</v>
      </c>
      <c r="F305" s="20">
        <v>0</v>
      </c>
      <c r="G305" s="20">
        <v>3</v>
      </c>
      <c r="H305" s="20">
        <v>2</v>
      </c>
      <c r="I305" s="23">
        <v>0</v>
      </c>
      <c r="J305" s="24">
        <v>2</v>
      </c>
      <c r="K305" s="25">
        <v>3</v>
      </c>
      <c r="L305" s="26">
        <v>1</v>
      </c>
      <c r="M305" s="23">
        <v>2.9</v>
      </c>
      <c r="N305" s="23">
        <v>116</v>
      </c>
      <c r="O305" s="23">
        <v>0.97</v>
      </c>
      <c r="P305" s="25">
        <v>205.128205128205</v>
      </c>
      <c r="Q305" s="20">
        <v>39</v>
      </c>
      <c r="R305" s="20">
        <v>8</v>
      </c>
      <c r="S305" s="27">
        <v>19.7287</v>
      </c>
    </row>
    <row r="306" spans="1:19">
      <c r="A306" s="20">
        <v>309</v>
      </c>
      <c r="B306" s="20">
        <v>345</v>
      </c>
      <c r="C306" s="21">
        <v>0.240449438202247</v>
      </c>
      <c r="D306" s="20">
        <v>1026</v>
      </c>
      <c r="E306" s="20">
        <v>0</v>
      </c>
      <c r="F306" s="20">
        <v>0</v>
      </c>
      <c r="G306" s="20">
        <v>3</v>
      </c>
      <c r="H306" s="20">
        <v>2</v>
      </c>
      <c r="I306" s="23">
        <v>0</v>
      </c>
      <c r="J306" s="24">
        <v>2</v>
      </c>
      <c r="K306" s="25">
        <v>7</v>
      </c>
      <c r="L306" s="26">
        <v>1</v>
      </c>
      <c r="M306" s="23">
        <v>2.9</v>
      </c>
      <c r="N306" s="23">
        <v>116</v>
      </c>
      <c r="O306" s="23">
        <v>0.97</v>
      </c>
      <c r="P306" s="25">
        <v>205.128205128205</v>
      </c>
      <c r="Q306" s="20">
        <v>39</v>
      </c>
      <c r="R306" s="20">
        <v>8</v>
      </c>
      <c r="S306" s="27">
        <v>28.03703</v>
      </c>
    </row>
    <row r="307" spans="1:19">
      <c r="A307" s="20">
        <v>309</v>
      </c>
      <c r="B307" s="20">
        <v>345</v>
      </c>
      <c r="C307" s="21">
        <v>0.240449438202247</v>
      </c>
      <c r="D307" s="20">
        <v>1026</v>
      </c>
      <c r="E307" s="20">
        <v>0</v>
      </c>
      <c r="F307" s="20">
        <v>0</v>
      </c>
      <c r="G307" s="20">
        <v>3</v>
      </c>
      <c r="H307" s="20">
        <v>2</v>
      </c>
      <c r="I307" s="23">
        <v>0</v>
      </c>
      <c r="J307" s="24">
        <v>2</v>
      </c>
      <c r="K307" s="25">
        <v>28</v>
      </c>
      <c r="L307" s="26">
        <v>1</v>
      </c>
      <c r="M307" s="23">
        <v>2.9</v>
      </c>
      <c r="N307" s="23">
        <v>116</v>
      </c>
      <c r="O307" s="23">
        <v>0.97</v>
      </c>
      <c r="P307" s="25">
        <v>205.128205128205</v>
      </c>
      <c r="Q307" s="20">
        <v>39</v>
      </c>
      <c r="R307" s="20">
        <v>8</v>
      </c>
      <c r="S307" s="27">
        <v>30.75745</v>
      </c>
    </row>
    <row r="308" spans="1:19">
      <c r="A308" s="20">
        <v>309</v>
      </c>
      <c r="B308" s="20">
        <v>345</v>
      </c>
      <c r="C308" s="21">
        <v>0.240449438202247</v>
      </c>
      <c r="D308" s="20">
        <v>1026</v>
      </c>
      <c r="E308" s="20">
        <v>0</v>
      </c>
      <c r="F308" s="20">
        <v>0</v>
      </c>
      <c r="G308" s="20">
        <v>3</v>
      </c>
      <c r="H308" s="20">
        <v>2</v>
      </c>
      <c r="I308" s="23">
        <v>0</v>
      </c>
      <c r="J308" s="24">
        <v>2</v>
      </c>
      <c r="K308" s="25">
        <v>1</v>
      </c>
      <c r="L308" s="26">
        <v>2</v>
      </c>
      <c r="M308" s="23">
        <v>2.9</v>
      </c>
      <c r="N308" s="23">
        <v>116</v>
      </c>
      <c r="O308" s="23">
        <v>0.97</v>
      </c>
      <c r="P308" s="25">
        <v>205.128205128205</v>
      </c>
      <c r="Q308" s="20">
        <v>39</v>
      </c>
      <c r="R308" s="20">
        <v>8</v>
      </c>
      <c r="S308" s="27">
        <v>11.17879</v>
      </c>
    </row>
    <row r="309" spans="1:19">
      <c r="A309" s="20">
        <v>309</v>
      </c>
      <c r="B309" s="20">
        <v>345</v>
      </c>
      <c r="C309" s="21">
        <v>0.240449438202247</v>
      </c>
      <c r="D309" s="20">
        <v>1026</v>
      </c>
      <c r="E309" s="20">
        <v>0</v>
      </c>
      <c r="F309" s="20">
        <v>0</v>
      </c>
      <c r="G309" s="20">
        <v>3</v>
      </c>
      <c r="H309" s="20">
        <v>2</v>
      </c>
      <c r="I309" s="23">
        <v>0</v>
      </c>
      <c r="J309" s="24">
        <v>2</v>
      </c>
      <c r="K309" s="25">
        <v>3</v>
      </c>
      <c r="L309" s="26">
        <v>2</v>
      </c>
      <c r="M309" s="23">
        <v>2.9</v>
      </c>
      <c r="N309" s="23">
        <v>116</v>
      </c>
      <c r="O309" s="23">
        <v>0.97</v>
      </c>
      <c r="P309" s="25">
        <v>205.128205128205</v>
      </c>
      <c r="Q309" s="20">
        <v>39</v>
      </c>
      <c r="R309" s="20">
        <v>8</v>
      </c>
      <c r="S309" s="27">
        <v>15.49576</v>
      </c>
    </row>
    <row r="310" spans="1:19">
      <c r="A310" s="20">
        <v>309</v>
      </c>
      <c r="B310" s="20">
        <v>345</v>
      </c>
      <c r="C310" s="21">
        <v>0.240449438202247</v>
      </c>
      <c r="D310" s="20">
        <v>1026</v>
      </c>
      <c r="E310" s="20">
        <v>0</v>
      </c>
      <c r="F310" s="20">
        <v>0</v>
      </c>
      <c r="G310" s="20">
        <v>3</v>
      </c>
      <c r="H310" s="20">
        <v>2</v>
      </c>
      <c r="I310" s="23">
        <v>0</v>
      </c>
      <c r="J310" s="24">
        <v>2</v>
      </c>
      <c r="K310" s="25">
        <v>7</v>
      </c>
      <c r="L310" s="26">
        <v>2</v>
      </c>
      <c r="M310" s="23">
        <v>2.9</v>
      </c>
      <c r="N310" s="23">
        <v>116</v>
      </c>
      <c r="O310" s="23">
        <v>0.97</v>
      </c>
      <c r="P310" s="25">
        <v>205.128205128205</v>
      </c>
      <c r="Q310" s="20">
        <v>39</v>
      </c>
      <c r="R310" s="20">
        <v>8</v>
      </c>
      <c r="S310" s="27">
        <v>21.56683</v>
      </c>
    </row>
    <row r="311" spans="1:19">
      <c r="A311" s="20">
        <v>309</v>
      </c>
      <c r="B311" s="20">
        <v>345</v>
      </c>
      <c r="C311" s="21">
        <v>0.240449438202247</v>
      </c>
      <c r="D311" s="20">
        <v>1026</v>
      </c>
      <c r="E311" s="20">
        <v>0</v>
      </c>
      <c r="F311" s="20">
        <v>0</v>
      </c>
      <c r="G311" s="20">
        <v>3</v>
      </c>
      <c r="H311" s="20">
        <v>2</v>
      </c>
      <c r="I311" s="23">
        <v>0</v>
      </c>
      <c r="J311" s="24">
        <v>2</v>
      </c>
      <c r="K311" s="25">
        <v>28</v>
      </c>
      <c r="L311" s="26">
        <v>2</v>
      </c>
      <c r="M311" s="23">
        <v>2.9</v>
      </c>
      <c r="N311" s="23">
        <v>116</v>
      </c>
      <c r="O311" s="23">
        <v>0.97</v>
      </c>
      <c r="P311" s="25">
        <v>205.128205128205</v>
      </c>
      <c r="Q311" s="20">
        <v>39</v>
      </c>
      <c r="R311" s="20">
        <v>8</v>
      </c>
      <c r="S311" s="27">
        <v>24.44481</v>
      </c>
    </row>
    <row r="312" spans="1:19">
      <c r="A312" s="20">
        <v>544</v>
      </c>
      <c r="B312" s="20">
        <v>435.2</v>
      </c>
      <c r="C312" s="21">
        <v>0.25</v>
      </c>
      <c r="D312" s="24">
        <v>652.8</v>
      </c>
      <c r="E312" s="20">
        <v>0</v>
      </c>
      <c r="F312" s="20">
        <v>0</v>
      </c>
      <c r="G312" s="22">
        <v>6.528</v>
      </c>
      <c r="H312" s="24">
        <v>1.8</v>
      </c>
      <c r="I312" s="23">
        <v>0</v>
      </c>
      <c r="J312" s="24">
        <v>2</v>
      </c>
      <c r="K312" s="25">
        <v>28</v>
      </c>
      <c r="L312" s="26">
        <v>2</v>
      </c>
      <c r="M312" s="23">
        <v>2.9</v>
      </c>
      <c r="N312" s="23">
        <v>116</v>
      </c>
      <c r="O312" s="23">
        <v>0.97</v>
      </c>
      <c r="P312" s="25">
        <v>200</v>
      </c>
      <c r="Q312" s="20">
        <v>40</v>
      </c>
      <c r="R312" s="20">
        <v>8</v>
      </c>
      <c r="S312" s="27">
        <v>39.5</v>
      </c>
    </row>
    <row r="313" spans="1:19">
      <c r="A313" s="20">
        <v>544</v>
      </c>
      <c r="B313" s="20">
        <v>435.2</v>
      </c>
      <c r="C313" s="21">
        <v>0.25</v>
      </c>
      <c r="D313" s="24">
        <v>652.8</v>
      </c>
      <c r="E313" s="20">
        <v>0</v>
      </c>
      <c r="F313" s="20">
        <v>0</v>
      </c>
      <c r="G313" s="22">
        <v>6.528</v>
      </c>
      <c r="H313" s="24">
        <v>1.8</v>
      </c>
      <c r="I313" s="23">
        <v>0</v>
      </c>
      <c r="J313" s="24">
        <v>2</v>
      </c>
      <c r="K313" s="25">
        <v>28</v>
      </c>
      <c r="L313" s="26">
        <v>3</v>
      </c>
      <c r="M313" s="23">
        <v>2.9</v>
      </c>
      <c r="N313" s="23">
        <v>116</v>
      </c>
      <c r="O313" s="23">
        <v>0.97</v>
      </c>
      <c r="P313" s="25">
        <v>200</v>
      </c>
      <c r="Q313" s="20">
        <v>40</v>
      </c>
      <c r="R313" s="20">
        <v>8</v>
      </c>
      <c r="S313" s="27">
        <v>33.3</v>
      </c>
    </row>
    <row r="314" spans="1:19">
      <c r="A314" s="20">
        <v>430</v>
      </c>
      <c r="B314" s="20">
        <v>400</v>
      </c>
      <c r="C314" s="21">
        <v>0.28</v>
      </c>
      <c r="D314" s="20">
        <v>570</v>
      </c>
      <c r="E314" s="20">
        <v>0</v>
      </c>
      <c r="F314" s="20">
        <v>0</v>
      </c>
      <c r="G314" s="22">
        <v>12</v>
      </c>
      <c r="H314" s="20">
        <v>6</v>
      </c>
      <c r="I314" s="23">
        <v>0</v>
      </c>
      <c r="J314" s="24">
        <v>1</v>
      </c>
      <c r="K314" s="25">
        <v>28</v>
      </c>
      <c r="L314" s="26">
        <v>2</v>
      </c>
      <c r="M314" s="23">
        <v>2.4</v>
      </c>
      <c r="N314" s="23">
        <v>200</v>
      </c>
      <c r="O314" s="23">
        <v>0.785</v>
      </c>
      <c r="P314" s="25">
        <v>500</v>
      </c>
      <c r="Q314" s="20">
        <v>24</v>
      </c>
      <c r="R314" s="20">
        <v>12</v>
      </c>
      <c r="S314" s="27">
        <v>49.10683</v>
      </c>
    </row>
    <row r="315" spans="1:19">
      <c r="A315" s="20">
        <v>430</v>
      </c>
      <c r="B315" s="20">
        <v>400</v>
      </c>
      <c r="C315" s="21">
        <v>0.28</v>
      </c>
      <c r="D315" s="20">
        <v>570</v>
      </c>
      <c r="E315" s="20">
        <v>0</v>
      </c>
      <c r="F315" s="20">
        <v>0</v>
      </c>
      <c r="G315" s="22">
        <v>12</v>
      </c>
      <c r="H315" s="20">
        <v>6</v>
      </c>
      <c r="I315" s="23">
        <v>0</v>
      </c>
      <c r="J315" s="24">
        <v>1.5</v>
      </c>
      <c r="K315" s="25">
        <v>28</v>
      </c>
      <c r="L315" s="26">
        <v>2</v>
      </c>
      <c r="M315" s="23">
        <v>2.4</v>
      </c>
      <c r="N315" s="23">
        <v>200</v>
      </c>
      <c r="O315" s="23">
        <v>0.785</v>
      </c>
      <c r="P315" s="25">
        <v>500</v>
      </c>
      <c r="Q315" s="20">
        <v>24</v>
      </c>
      <c r="R315" s="20">
        <v>12</v>
      </c>
      <c r="S315" s="27">
        <v>50.99787</v>
      </c>
    </row>
    <row r="316" spans="1:19">
      <c r="A316" s="20">
        <v>430</v>
      </c>
      <c r="B316" s="20">
        <v>400</v>
      </c>
      <c r="C316" s="21">
        <v>0.28</v>
      </c>
      <c r="D316" s="20">
        <v>570</v>
      </c>
      <c r="E316" s="20">
        <v>0</v>
      </c>
      <c r="F316" s="20">
        <v>0</v>
      </c>
      <c r="G316" s="22">
        <v>12</v>
      </c>
      <c r="H316" s="20">
        <v>6</v>
      </c>
      <c r="I316" s="23">
        <v>0</v>
      </c>
      <c r="J316" s="24">
        <v>2</v>
      </c>
      <c r="K316" s="25">
        <v>28</v>
      </c>
      <c r="L316" s="26">
        <v>2</v>
      </c>
      <c r="M316" s="23">
        <v>2.4</v>
      </c>
      <c r="N316" s="23">
        <v>200</v>
      </c>
      <c r="O316" s="23">
        <v>0.785</v>
      </c>
      <c r="P316" s="25">
        <v>500</v>
      </c>
      <c r="Q316" s="20">
        <v>24</v>
      </c>
      <c r="R316" s="20">
        <v>12</v>
      </c>
      <c r="S316" s="27">
        <v>47.46482</v>
      </c>
    </row>
    <row r="317" spans="1:19">
      <c r="A317" s="20">
        <v>483</v>
      </c>
      <c r="B317" s="20">
        <v>284</v>
      </c>
      <c r="C317" s="21">
        <v>0.264079147640791</v>
      </c>
      <c r="D317" s="20">
        <v>0</v>
      </c>
      <c r="E317" s="20">
        <v>314</v>
      </c>
      <c r="F317" s="20">
        <v>70</v>
      </c>
      <c r="G317" s="22">
        <v>3.47</v>
      </c>
      <c r="H317" s="24">
        <v>5.2</v>
      </c>
      <c r="I317" s="23">
        <v>0</v>
      </c>
      <c r="J317" s="24">
        <v>2</v>
      </c>
      <c r="K317" s="25">
        <v>7</v>
      </c>
      <c r="L317" s="26">
        <v>1</v>
      </c>
      <c r="M317" s="23">
        <v>2.9</v>
      </c>
      <c r="N317" s="23">
        <v>116</v>
      </c>
      <c r="O317" s="23">
        <v>0.97</v>
      </c>
      <c r="P317" s="25">
        <v>200</v>
      </c>
      <c r="Q317" s="20">
        <v>40</v>
      </c>
      <c r="R317" s="20">
        <v>8</v>
      </c>
      <c r="S317" s="27">
        <v>31.22885</v>
      </c>
    </row>
    <row r="318" spans="1:19">
      <c r="A318" s="20">
        <v>483</v>
      </c>
      <c r="B318" s="20">
        <v>284</v>
      </c>
      <c r="C318" s="21">
        <v>0.264079147640791</v>
      </c>
      <c r="D318" s="20">
        <v>0</v>
      </c>
      <c r="E318" s="20">
        <v>314</v>
      </c>
      <c r="F318" s="20">
        <v>70</v>
      </c>
      <c r="G318" s="22">
        <v>3.47</v>
      </c>
      <c r="H318" s="24">
        <v>5.2</v>
      </c>
      <c r="I318" s="23">
        <v>0</v>
      </c>
      <c r="J318" s="24">
        <v>2</v>
      </c>
      <c r="K318" s="25">
        <v>14</v>
      </c>
      <c r="L318" s="26">
        <v>1</v>
      </c>
      <c r="M318" s="23">
        <v>2.9</v>
      </c>
      <c r="N318" s="23">
        <v>116</v>
      </c>
      <c r="O318" s="23">
        <v>0.97</v>
      </c>
      <c r="P318" s="25">
        <v>200</v>
      </c>
      <c r="Q318" s="20">
        <v>40</v>
      </c>
      <c r="R318" s="20">
        <v>8</v>
      </c>
      <c r="S318" s="27">
        <v>45.62781</v>
      </c>
    </row>
    <row r="319" spans="1:19">
      <c r="A319" s="20">
        <v>483</v>
      </c>
      <c r="B319" s="20">
        <v>284</v>
      </c>
      <c r="C319" s="21">
        <v>0.264079147640791</v>
      </c>
      <c r="D319" s="20">
        <v>0</v>
      </c>
      <c r="E319" s="20">
        <v>314</v>
      </c>
      <c r="F319" s="20">
        <v>70</v>
      </c>
      <c r="G319" s="22">
        <v>3.47</v>
      </c>
      <c r="H319" s="24">
        <v>5.2</v>
      </c>
      <c r="I319" s="23">
        <v>0</v>
      </c>
      <c r="J319" s="24">
        <v>2</v>
      </c>
      <c r="K319" s="25">
        <v>28</v>
      </c>
      <c r="L319" s="26">
        <v>1</v>
      </c>
      <c r="M319" s="23">
        <v>2.9</v>
      </c>
      <c r="N319" s="23">
        <v>116</v>
      </c>
      <c r="O319" s="23">
        <v>0.97</v>
      </c>
      <c r="P319" s="25">
        <v>200</v>
      </c>
      <c r="Q319" s="20">
        <v>40</v>
      </c>
      <c r="R319" s="20">
        <v>8</v>
      </c>
      <c r="S319" s="27">
        <v>50.88613</v>
      </c>
    </row>
    <row r="320" spans="1:19">
      <c r="A320" s="20">
        <v>483</v>
      </c>
      <c r="B320" s="20">
        <v>284</v>
      </c>
      <c r="C320" s="21">
        <v>0.264079147640791</v>
      </c>
      <c r="D320" s="20">
        <v>0</v>
      </c>
      <c r="E320" s="20">
        <v>314</v>
      </c>
      <c r="F320" s="20">
        <v>70</v>
      </c>
      <c r="G320" s="22">
        <v>3.47</v>
      </c>
      <c r="H320" s="24">
        <v>5.2</v>
      </c>
      <c r="I320" s="23">
        <v>0</v>
      </c>
      <c r="J320" s="24">
        <v>2</v>
      </c>
      <c r="K320" s="25">
        <v>7</v>
      </c>
      <c r="L320" s="26">
        <v>3</v>
      </c>
      <c r="M320" s="23">
        <v>2.9</v>
      </c>
      <c r="N320" s="23">
        <v>116</v>
      </c>
      <c r="O320" s="23">
        <v>0.97</v>
      </c>
      <c r="P320" s="25">
        <v>200</v>
      </c>
      <c r="Q320" s="20">
        <v>40</v>
      </c>
      <c r="R320" s="20">
        <v>8</v>
      </c>
      <c r="S320" s="27">
        <v>35.35688</v>
      </c>
    </row>
    <row r="321" spans="1:19">
      <c r="A321" s="20">
        <v>483</v>
      </c>
      <c r="B321" s="20">
        <v>284</v>
      </c>
      <c r="C321" s="21">
        <v>0.264079147640791</v>
      </c>
      <c r="D321" s="20">
        <v>0</v>
      </c>
      <c r="E321" s="20">
        <v>314</v>
      </c>
      <c r="F321" s="20">
        <v>70</v>
      </c>
      <c r="G321" s="22">
        <v>3.47</v>
      </c>
      <c r="H321" s="24">
        <v>5.2</v>
      </c>
      <c r="I321" s="23">
        <v>0</v>
      </c>
      <c r="J321" s="24">
        <v>2</v>
      </c>
      <c r="K321" s="25">
        <v>14</v>
      </c>
      <c r="L321" s="26">
        <v>3</v>
      </c>
      <c r="M321" s="23">
        <v>2.9</v>
      </c>
      <c r="N321" s="23">
        <v>116</v>
      </c>
      <c r="O321" s="23">
        <v>0.97</v>
      </c>
      <c r="P321" s="25">
        <v>200</v>
      </c>
      <c r="Q321" s="20">
        <v>40</v>
      </c>
      <c r="R321" s="20">
        <v>8</v>
      </c>
      <c r="S321" s="27">
        <v>46.53696</v>
      </c>
    </row>
    <row r="322" spans="1:19">
      <c r="A322" s="20">
        <v>483</v>
      </c>
      <c r="B322" s="20">
        <v>284</v>
      </c>
      <c r="C322" s="21">
        <v>0.264079147640791</v>
      </c>
      <c r="D322" s="20">
        <v>0</v>
      </c>
      <c r="E322" s="20">
        <v>314</v>
      </c>
      <c r="F322" s="20">
        <v>70</v>
      </c>
      <c r="G322" s="22">
        <v>3.47</v>
      </c>
      <c r="H322" s="24">
        <v>5.2</v>
      </c>
      <c r="I322" s="23">
        <v>0</v>
      </c>
      <c r="J322" s="24">
        <v>2</v>
      </c>
      <c r="K322" s="25">
        <v>28</v>
      </c>
      <c r="L322" s="26">
        <v>3</v>
      </c>
      <c r="M322" s="23">
        <v>2.9</v>
      </c>
      <c r="N322" s="23">
        <v>116</v>
      </c>
      <c r="O322" s="23">
        <v>0.97</v>
      </c>
      <c r="P322" s="25">
        <v>200</v>
      </c>
      <c r="Q322" s="20">
        <v>40</v>
      </c>
      <c r="R322" s="20">
        <v>8</v>
      </c>
      <c r="S322" s="27">
        <v>52.43414</v>
      </c>
    </row>
    <row r="323" spans="1:19">
      <c r="A323" s="20">
        <v>458</v>
      </c>
      <c r="B323" s="20">
        <v>549</v>
      </c>
      <c r="C323" s="21">
        <v>0.328399629972248</v>
      </c>
      <c r="D323" s="20">
        <v>0</v>
      </c>
      <c r="E323" s="20">
        <v>377</v>
      </c>
      <c r="F323" s="20">
        <v>51</v>
      </c>
      <c r="G323" s="22">
        <v>2.66</v>
      </c>
      <c r="H323" s="22">
        <v>2.66</v>
      </c>
      <c r="I323" s="23">
        <v>0</v>
      </c>
      <c r="J323" s="24">
        <v>2</v>
      </c>
      <c r="K323" s="25">
        <v>7</v>
      </c>
      <c r="L323" s="26">
        <v>1</v>
      </c>
      <c r="M323" s="23">
        <v>2.9</v>
      </c>
      <c r="N323" s="23">
        <v>116</v>
      </c>
      <c r="O323" s="23">
        <v>0.97</v>
      </c>
      <c r="P323" s="25">
        <v>200</v>
      </c>
      <c r="Q323" s="20">
        <v>40</v>
      </c>
      <c r="R323" s="20">
        <v>8</v>
      </c>
      <c r="S323" s="27">
        <v>31.10599</v>
      </c>
    </row>
    <row r="324" spans="1:19">
      <c r="A324" s="20">
        <v>458</v>
      </c>
      <c r="B324" s="20">
        <v>549</v>
      </c>
      <c r="C324" s="21">
        <v>0.328399629972248</v>
      </c>
      <c r="D324" s="20">
        <v>0</v>
      </c>
      <c r="E324" s="20">
        <v>377</v>
      </c>
      <c r="F324" s="20">
        <v>51</v>
      </c>
      <c r="G324" s="22">
        <v>2.66</v>
      </c>
      <c r="H324" s="22">
        <v>2.66</v>
      </c>
      <c r="I324" s="23">
        <v>0</v>
      </c>
      <c r="J324" s="24">
        <v>2</v>
      </c>
      <c r="K324" s="25">
        <v>14</v>
      </c>
      <c r="L324" s="26">
        <v>1</v>
      </c>
      <c r="M324" s="23">
        <v>2.9</v>
      </c>
      <c r="N324" s="23">
        <v>116</v>
      </c>
      <c r="O324" s="23">
        <v>0.97</v>
      </c>
      <c r="P324" s="25">
        <v>200</v>
      </c>
      <c r="Q324" s="20">
        <v>40</v>
      </c>
      <c r="R324" s="20">
        <v>8</v>
      </c>
      <c r="S324" s="27">
        <v>43.61294</v>
      </c>
    </row>
    <row r="325" spans="1:19">
      <c r="A325" s="20">
        <v>458</v>
      </c>
      <c r="B325" s="20">
        <v>549</v>
      </c>
      <c r="C325" s="21">
        <v>0.328399629972248</v>
      </c>
      <c r="D325" s="20">
        <v>0</v>
      </c>
      <c r="E325" s="20">
        <v>377</v>
      </c>
      <c r="F325" s="20">
        <v>51</v>
      </c>
      <c r="G325" s="22">
        <v>2.66</v>
      </c>
      <c r="H325" s="22">
        <v>2.66</v>
      </c>
      <c r="I325" s="23">
        <v>0</v>
      </c>
      <c r="J325" s="24">
        <v>2</v>
      </c>
      <c r="K325" s="25">
        <v>28</v>
      </c>
      <c r="L325" s="26">
        <v>1</v>
      </c>
      <c r="M325" s="23">
        <v>2.9</v>
      </c>
      <c r="N325" s="23">
        <v>116</v>
      </c>
      <c r="O325" s="23">
        <v>0.97</v>
      </c>
      <c r="P325" s="25">
        <v>200</v>
      </c>
      <c r="Q325" s="20">
        <v>40</v>
      </c>
      <c r="R325" s="20">
        <v>8</v>
      </c>
      <c r="S325" s="27">
        <v>56.0216</v>
      </c>
    </row>
    <row r="326" spans="1:19">
      <c r="A326" s="20">
        <v>458</v>
      </c>
      <c r="B326" s="20">
        <v>549</v>
      </c>
      <c r="C326" s="21">
        <v>0.328399629972248</v>
      </c>
      <c r="D326" s="20">
        <v>0</v>
      </c>
      <c r="E326" s="20">
        <v>377</v>
      </c>
      <c r="F326" s="20">
        <v>51</v>
      </c>
      <c r="G326" s="22">
        <v>2.66</v>
      </c>
      <c r="H326" s="22">
        <v>2.66</v>
      </c>
      <c r="I326" s="23">
        <v>0</v>
      </c>
      <c r="J326" s="24">
        <v>2</v>
      </c>
      <c r="K326" s="25">
        <v>7</v>
      </c>
      <c r="L326" s="26">
        <v>3</v>
      </c>
      <c r="M326" s="23">
        <v>2.9</v>
      </c>
      <c r="N326" s="23">
        <v>116</v>
      </c>
      <c r="O326" s="23">
        <v>0.97</v>
      </c>
      <c r="P326" s="25">
        <v>200</v>
      </c>
      <c r="Q326" s="20">
        <v>40</v>
      </c>
      <c r="R326" s="20">
        <v>8</v>
      </c>
      <c r="S326" s="27">
        <v>33.02258</v>
      </c>
    </row>
    <row r="327" spans="1:19">
      <c r="A327" s="20">
        <v>458</v>
      </c>
      <c r="B327" s="20">
        <v>549</v>
      </c>
      <c r="C327" s="21">
        <v>0.328399629972248</v>
      </c>
      <c r="D327" s="20">
        <v>0</v>
      </c>
      <c r="E327" s="20">
        <v>377</v>
      </c>
      <c r="F327" s="20">
        <v>51</v>
      </c>
      <c r="G327" s="22">
        <v>2.66</v>
      </c>
      <c r="H327" s="22">
        <v>2.66</v>
      </c>
      <c r="I327" s="23">
        <v>0</v>
      </c>
      <c r="J327" s="24">
        <v>2</v>
      </c>
      <c r="K327" s="25">
        <v>14</v>
      </c>
      <c r="L327" s="26">
        <v>3</v>
      </c>
      <c r="M327" s="23">
        <v>2.9</v>
      </c>
      <c r="N327" s="23">
        <v>116</v>
      </c>
      <c r="O327" s="23">
        <v>0.97</v>
      </c>
      <c r="P327" s="25">
        <v>200</v>
      </c>
      <c r="Q327" s="20">
        <v>40</v>
      </c>
      <c r="R327" s="20">
        <v>8</v>
      </c>
      <c r="S327" s="27">
        <v>46.85639</v>
      </c>
    </row>
    <row r="328" spans="1:19">
      <c r="A328" s="20">
        <v>458</v>
      </c>
      <c r="B328" s="20">
        <v>549</v>
      </c>
      <c r="C328" s="21">
        <v>0.328399629972248</v>
      </c>
      <c r="D328" s="20">
        <v>0</v>
      </c>
      <c r="E328" s="20">
        <v>377</v>
      </c>
      <c r="F328" s="20">
        <v>51</v>
      </c>
      <c r="G328" s="22">
        <v>2.66</v>
      </c>
      <c r="H328" s="22">
        <v>2.66</v>
      </c>
      <c r="I328" s="23">
        <v>0</v>
      </c>
      <c r="J328" s="24">
        <v>2</v>
      </c>
      <c r="K328" s="25">
        <v>28</v>
      </c>
      <c r="L328" s="26">
        <v>3</v>
      </c>
      <c r="M328" s="23">
        <v>2.9</v>
      </c>
      <c r="N328" s="23">
        <v>116</v>
      </c>
      <c r="O328" s="23">
        <v>0.97</v>
      </c>
      <c r="P328" s="25">
        <v>200</v>
      </c>
      <c r="Q328" s="20">
        <v>40</v>
      </c>
      <c r="R328" s="20">
        <v>8</v>
      </c>
      <c r="S328" s="27">
        <v>57.34847</v>
      </c>
    </row>
    <row r="329" spans="1:19">
      <c r="A329" s="20">
        <v>470</v>
      </c>
      <c r="B329" s="20">
        <v>318</v>
      </c>
      <c r="C329" s="21">
        <v>0.296296296296296</v>
      </c>
      <c r="D329" s="20">
        <v>0</v>
      </c>
      <c r="E329" s="20">
        <v>263</v>
      </c>
      <c r="F329" s="20">
        <v>33</v>
      </c>
      <c r="G329" s="22">
        <v>2.68</v>
      </c>
      <c r="H329" s="22">
        <v>3.06</v>
      </c>
      <c r="I329" s="23">
        <v>0</v>
      </c>
      <c r="J329" s="24">
        <v>2</v>
      </c>
      <c r="K329" s="25">
        <v>28</v>
      </c>
      <c r="L329" s="26">
        <v>2</v>
      </c>
      <c r="M329" s="23">
        <v>2.9</v>
      </c>
      <c r="N329" s="23">
        <v>116</v>
      </c>
      <c r="O329" s="23">
        <v>0.97</v>
      </c>
      <c r="P329" s="25">
        <v>200</v>
      </c>
      <c r="Q329" s="20">
        <v>40</v>
      </c>
      <c r="R329" s="20">
        <v>8</v>
      </c>
      <c r="S329" s="27">
        <v>42</v>
      </c>
    </row>
    <row r="330" spans="1:19">
      <c r="A330" s="20">
        <v>470</v>
      </c>
      <c r="B330" s="20">
        <v>318</v>
      </c>
      <c r="C330" s="21">
        <v>0.296296296296296</v>
      </c>
      <c r="D330" s="20">
        <v>0</v>
      </c>
      <c r="E330" s="20">
        <v>263</v>
      </c>
      <c r="F330" s="20">
        <v>33</v>
      </c>
      <c r="G330" s="22">
        <v>2.68</v>
      </c>
      <c r="H330" s="22">
        <v>3.06</v>
      </c>
      <c r="I330" s="23">
        <v>0</v>
      </c>
      <c r="J330" s="24">
        <v>2</v>
      </c>
      <c r="K330" s="25">
        <v>28</v>
      </c>
      <c r="L330" s="26">
        <v>3</v>
      </c>
      <c r="M330" s="23">
        <v>2.9</v>
      </c>
      <c r="N330" s="23">
        <v>116</v>
      </c>
      <c r="O330" s="23">
        <v>0.97</v>
      </c>
      <c r="P330" s="25">
        <v>200</v>
      </c>
      <c r="Q330" s="20">
        <v>40</v>
      </c>
      <c r="R330" s="20">
        <v>8</v>
      </c>
      <c r="S330" s="27">
        <v>43.3</v>
      </c>
    </row>
    <row r="331" spans="1:19">
      <c r="A331" s="20">
        <v>470</v>
      </c>
      <c r="B331" s="20">
        <v>318</v>
      </c>
      <c r="C331" s="21">
        <v>0.296296296296296</v>
      </c>
      <c r="D331" s="20">
        <v>0</v>
      </c>
      <c r="E331" s="20">
        <v>263</v>
      </c>
      <c r="F331" s="20">
        <v>33</v>
      </c>
      <c r="G331" s="22">
        <v>2.68</v>
      </c>
      <c r="H331" s="22">
        <v>3.06</v>
      </c>
      <c r="I331" s="23">
        <v>0</v>
      </c>
      <c r="J331" s="24">
        <v>2</v>
      </c>
      <c r="K331" s="25">
        <v>28</v>
      </c>
      <c r="L331" s="26">
        <v>1</v>
      </c>
      <c r="M331" s="23">
        <v>2.9</v>
      </c>
      <c r="N331" s="23">
        <v>116</v>
      </c>
      <c r="O331" s="23">
        <v>0.97</v>
      </c>
      <c r="P331" s="25">
        <v>200</v>
      </c>
      <c r="Q331" s="20">
        <v>40</v>
      </c>
      <c r="R331" s="20">
        <v>8</v>
      </c>
      <c r="S331" s="27">
        <v>39</v>
      </c>
    </row>
    <row r="332" spans="1:19">
      <c r="A332" s="20">
        <v>500</v>
      </c>
      <c r="B332" s="20">
        <v>200</v>
      </c>
      <c r="C332" s="21">
        <v>0.26</v>
      </c>
      <c r="D332" s="20">
        <v>400</v>
      </c>
      <c r="E332" s="20">
        <v>0</v>
      </c>
      <c r="F332" s="20">
        <v>100</v>
      </c>
      <c r="G332" s="24">
        <v>2</v>
      </c>
      <c r="H332" s="24">
        <v>0.7</v>
      </c>
      <c r="I332" s="23">
        <v>0</v>
      </c>
      <c r="J332" s="24">
        <v>1.5</v>
      </c>
      <c r="K332" s="25">
        <v>28</v>
      </c>
      <c r="L332" s="26">
        <v>1</v>
      </c>
      <c r="M332" s="23">
        <v>2.4</v>
      </c>
      <c r="N332" s="23">
        <v>200</v>
      </c>
      <c r="O332" s="23">
        <v>0.785</v>
      </c>
      <c r="P332" s="25">
        <v>480</v>
      </c>
      <c r="Q332" s="20">
        <v>25</v>
      </c>
      <c r="R332" s="20">
        <v>12</v>
      </c>
      <c r="S332" s="27">
        <v>45.82917</v>
      </c>
    </row>
    <row r="333" spans="1:19">
      <c r="A333" s="20">
        <v>500</v>
      </c>
      <c r="B333" s="20">
        <v>200</v>
      </c>
      <c r="C333" s="21">
        <v>0.26</v>
      </c>
      <c r="D333" s="20">
        <v>400</v>
      </c>
      <c r="E333" s="20">
        <v>0</v>
      </c>
      <c r="F333" s="20">
        <v>100</v>
      </c>
      <c r="G333" s="24">
        <v>2</v>
      </c>
      <c r="H333" s="24">
        <v>0.7</v>
      </c>
      <c r="I333" s="23">
        <v>0</v>
      </c>
      <c r="J333" s="24">
        <v>1.5</v>
      </c>
      <c r="K333" s="25">
        <v>28</v>
      </c>
      <c r="L333" s="26">
        <v>2</v>
      </c>
      <c r="M333" s="23">
        <v>2.4</v>
      </c>
      <c r="N333" s="23">
        <v>200</v>
      </c>
      <c r="O333" s="23">
        <v>0.785</v>
      </c>
      <c r="P333" s="25">
        <v>480</v>
      </c>
      <c r="Q333" s="20">
        <v>25</v>
      </c>
      <c r="R333" s="20">
        <v>12</v>
      </c>
      <c r="S333" s="27">
        <v>44.25562</v>
      </c>
    </row>
    <row r="334" spans="1:19">
      <c r="A334" s="20">
        <v>500</v>
      </c>
      <c r="B334" s="20">
        <v>200</v>
      </c>
      <c r="C334" s="21">
        <v>0.26</v>
      </c>
      <c r="D334" s="20">
        <v>400</v>
      </c>
      <c r="E334" s="20">
        <v>0</v>
      </c>
      <c r="F334" s="20">
        <v>100</v>
      </c>
      <c r="G334" s="24">
        <v>2</v>
      </c>
      <c r="H334" s="24">
        <v>0.7</v>
      </c>
      <c r="I334" s="23">
        <v>0</v>
      </c>
      <c r="J334" s="24">
        <v>1.5</v>
      </c>
      <c r="K334" s="25">
        <v>28</v>
      </c>
      <c r="L334" s="26">
        <v>3</v>
      </c>
      <c r="M334" s="23">
        <v>2.4</v>
      </c>
      <c r="N334" s="23">
        <v>200</v>
      </c>
      <c r="O334" s="23">
        <v>0.785</v>
      </c>
      <c r="P334" s="25">
        <v>480</v>
      </c>
      <c r="Q334" s="20">
        <v>25</v>
      </c>
      <c r="R334" s="20">
        <v>12</v>
      </c>
      <c r="S334" s="27">
        <v>41.60793</v>
      </c>
    </row>
    <row r="335" spans="1:19">
      <c r="A335" s="20">
        <v>500</v>
      </c>
      <c r="B335" s="20">
        <v>200</v>
      </c>
      <c r="C335" s="21">
        <v>0.26</v>
      </c>
      <c r="D335" s="20">
        <v>400</v>
      </c>
      <c r="E335" s="20">
        <v>0</v>
      </c>
      <c r="F335" s="20">
        <v>100</v>
      </c>
      <c r="G335" s="24">
        <v>2</v>
      </c>
      <c r="H335" s="24">
        <v>0.7</v>
      </c>
      <c r="I335" s="23">
        <v>0</v>
      </c>
      <c r="J335" s="24">
        <v>1.75</v>
      </c>
      <c r="K335" s="25">
        <v>28</v>
      </c>
      <c r="L335" s="26">
        <v>1</v>
      </c>
      <c r="M335" s="23">
        <v>2.4</v>
      </c>
      <c r="N335" s="23">
        <v>200</v>
      </c>
      <c r="O335" s="23">
        <v>0.785</v>
      </c>
      <c r="P335" s="25">
        <v>480</v>
      </c>
      <c r="Q335" s="20">
        <v>25</v>
      </c>
      <c r="R335" s="20">
        <v>12</v>
      </c>
      <c r="S335" s="27">
        <v>43.22679</v>
      </c>
    </row>
    <row r="336" spans="1:19">
      <c r="A336" s="20">
        <v>500</v>
      </c>
      <c r="B336" s="20">
        <v>200</v>
      </c>
      <c r="C336" s="21">
        <v>0.26</v>
      </c>
      <c r="D336" s="20">
        <v>400</v>
      </c>
      <c r="E336" s="20">
        <v>0</v>
      </c>
      <c r="F336" s="20">
        <v>100</v>
      </c>
      <c r="G336" s="24">
        <v>2</v>
      </c>
      <c r="H336" s="24">
        <v>0.7</v>
      </c>
      <c r="I336" s="23">
        <v>0</v>
      </c>
      <c r="J336" s="24">
        <v>1.75</v>
      </c>
      <c r="K336" s="25">
        <v>28</v>
      </c>
      <c r="L336" s="26">
        <v>2</v>
      </c>
      <c r="M336" s="23">
        <v>2.4</v>
      </c>
      <c r="N336" s="23">
        <v>200</v>
      </c>
      <c r="O336" s="23">
        <v>0.785</v>
      </c>
      <c r="P336" s="25">
        <v>480</v>
      </c>
      <c r="Q336" s="20">
        <v>25</v>
      </c>
      <c r="R336" s="20">
        <v>12</v>
      </c>
      <c r="S336" s="27">
        <v>42.18796</v>
      </c>
    </row>
    <row r="337" spans="1:19">
      <c r="A337" s="20">
        <v>500</v>
      </c>
      <c r="B337" s="20">
        <v>200</v>
      </c>
      <c r="C337" s="21">
        <v>0.26</v>
      </c>
      <c r="D337" s="20">
        <v>400</v>
      </c>
      <c r="E337" s="20">
        <v>0</v>
      </c>
      <c r="F337" s="20">
        <v>100</v>
      </c>
      <c r="G337" s="24">
        <v>2</v>
      </c>
      <c r="H337" s="24">
        <v>0.7</v>
      </c>
      <c r="I337" s="23">
        <v>0</v>
      </c>
      <c r="J337" s="24">
        <v>1.75</v>
      </c>
      <c r="K337" s="25">
        <v>28</v>
      </c>
      <c r="L337" s="26">
        <v>3</v>
      </c>
      <c r="M337" s="23">
        <v>2.4</v>
      </c>
      <c r="N337" s="23">
        <v>200</v>
      </c>
      <c r="O337" s="23">
        <v>0.785</v>
      </c>
      <c r="P337" s="25">
        <v>480</v>
      </c>
      <c r="Q337" s="20">
        <v>25</v>
      </c>
      <c r="R337" s="20">
        <v>12</v>
      </c>
      <c r="S337" s="27">
        <v>41.60793</v>
      </c>
    </row>
    <row r="338" spans="1:19">
      <c r="A338" s="20">
        <v>500</v>
      </c>
      <c r="B338" s="20">
        <v>200</v>
      </c>
      <c r="C338" s="21">
        <v>0.26</v>
      </c>
      <c r="D338" s="20">
        <v>400</v>
      </c>
      <c r="E338" s="20">
        <v>0</v>
      </c>
      <c r="F338" s="20">
        <v>100</v>
      </c>
      <c r="G338" s="24">
        <v>2</v>
      </c>
      <c r="H338" s="24">
        <v>0.7</v>
      </c>
      <c r="I338" s="23">
        <v>0</v>
      </c>
      <c r="J338" s="24">
        <v>2</v>
      </c>
      <c r="K338" s="25">
        <v>28</v>
      </c>
      <c r="L338" s="26">
        <v>1</v>
      </c>
      <c r="M338" s="23">
        <v>2.4</v>
      </c>
      <c r="N338" s="23">
        <v>200</v>
      </c>
      <c r="O338" s="23">
        <v>0.785</v>
      </c>
      <c r="P338" s="25">
        <v>480</v>
      </c>
      <c r="Q338" s="20">
        <v>25</v>
      </c>
      <c r="R338" s="20">
        <v>12</v>
      </c>
      <c r="S338" s="27">
        <v>47.39296</v>
      </c>
    </row>
    <row r="339" spans="1:19">
      <c r="A339" s="20">
        <v>500</v>
      </c>
      <c r="B339" s="20">
        <v>200</v>
      </c>
      <c r="C339" s="21">
        <v>0.26</v>
      </c>
      <c r="D339" s="20">
        <v>400</v>
      </c>
      <c r="E339" s="20">
        <v>0</v>
      </c>
      <c r="F339" s="20">
        <v>100</v>
      </c>
      <c r="G339" s="24">
        <v>2</v>
      </c>
      <c r="H339" s="24">
        <v>0.7</v>
      </c>
      <c r="I339" s="23">
        <v>0</v>
      </c>
      <c r="J339" s="24">
        <v>2</v>
      </c>
      <c r="K339" s="25">
        <v>28</v>
      </c>
      <c r="L339" s="26">
        <v>2</v>
      </c>
      <c r="M339" s="23">
        <v>2.4</v>
      </c>
      <c r="N339" s="23">
        <v>200</v>
      </c>
      <c r="O339" s="23">
        <v>0.785</v>
      </c>
      <c r="P339" s="25">
        <v>480</v>
      </c>
      <c r="Q339" s="20">
        <v>25</v>
      </c>
      <c r="R339" s="20">
        <v>12</v>
      </c>
      <c r="S339" s="27">
        <v>42.18796</v>
      </c>
    </row>
    <row r="340" spans="1:19">
      <c r="A340" s="20">
        <v>500</v>
      </c>
      <c r="B340" s="20">
        <v>200</v>
      </c>
      <c r="C340" s="21">
        <v>0.26</v>
      </c>
      <c r="D340" s="20">
        <v>400</v>
      </c>
      <c r="E340" s="20">
        <v>0</v>
      </c>
      <c r="F340" s="20">
        <v>100</v>
      </c>
      <c r="G340" s="24">
        <v>2</v>
      </c>
      <c r="H340" s="24">
        <v>0.7</v>
      </c>
      <c r="I340" s="23">
        <v>0</v>
      </c>
      <c r="J340" s="24">
        <v>2</v>
      </c>
      <c r="K340" s="25">
        <v>28</v>
      </c>
      <c r="L340" s="26">
        <v>3</v>
      </c>
      <c r="M340" s="23">
        <v>2.4</v>
      </c>
      <c r="N340" s="23">
        <v>200</v>
      </c>
      <c r="O340" s="23">
        <v>0.785</v>
      </c>
      <c r="P340" s="25">
        <v>480</v>
      </c>
      <c r="Q340" s="20">
        <v>25</v>
      </c>
      <c r="R340" s="20">
        <v>12</v>
      </c>
      <c r="S340" s="27">
        <v>43.93279</v>
      </c>
    </row>
    <row r="341" spans="1:19">
      <c r="A341" s="20">
        <v>698.4</v>
      </c>
      <c r="B341" s="20">
        <v>405</v>
      </c>
      <c r="C341" s="21">
        <v>0.373913043478261</v>
      </c>
      <c r="D341" s="20">
        <v>201.6</v>
      </c>
      <c r="E341" s="20">
        <v>0</v>
      </c>
      <c r="F341" s="20">
        <v>135</v>
      </c>
      <c r="G341" s="24">
        <v>7.2</v>
      </c>
      <c r="H341" s="24">
        <v>3.6</v>
      </c>
      <c r="I341" s="23">
        <v>0</v>
      </c>
      <c r="J341" s="24">
        <v>2</v>
      </c>
      <c r="K341" s="25">
        <v>28</v>
      </c>
      <c r="L341" s="26">
        <v>1</v>
      </c>
      <c r="M341" s="23">
        <v>2.9</v>
      </c>
      <c r="N341" s="23">
        <v>116</v>
      </c>
      <c r="O341" s="23">
        <v>0.97</v>
      </c>
      <c r="P341" s="25">
        <v>300</v>
      </c>
      <c r="Q341" s="20">
        <v>40</v>
      </c>
      <c r="R341" s="20">
        <v>12</v>
      </c>
      <c r="S341" s="27">
        <v>26.7</v>
      </c>
    </row>
    <row r="342" spans="1:19">
      <c r="A342" s="20">
        <v>656</v>
      </c>
      <c r="B342" s="20">
        <v>410</v>
      </c>
      <c r="C342" s="21">
        <v>0.263425253991292</v>
      </c>
      <c r="D342" s="20">
        <v>604</v>
      </c>
      <c r="E342" s="20">
        <v>0</v>
      </c>
      <c r="F342" s="20">
        <v>118</v>
      </c>
      <c r="G342" s="24">
        <v>2</v>
      </c>
      <c r="H342" s="24">
        <v>0</v>
      </c>
      <c r="I342" s="23">
        <v>0</v>
      </c>
      <c r="J342" s="24">
        <v>1.5</v>
      </c>
      <c r="K342" s="25">
        <v>28</v>
      </c>
      <c r="L342" s="26">
        <v>2</v>
      </c>
      <c r="M342" s="23">
        <v>2.4</v>
      </c>
      <c r="N342" s="23">
        <v>200</v>
      </c>
      <c r="O342" s="23">
        <v>0.785</v>
      </c>
      <c r="P342" s="25">
        <v>500</v>
      </c>
      <c r="Q342" s="20">
        <v>24</v>
      </c>
      <c r="R342" s="20">
        <v>12</v>
      </c>
      <c r="S342" s="27">
        <v>44.06605</v>
      </c>
    </row>
    <row r="343" spans="1:19">
      <c r="A343" s="20">
        <v>656</v>
      </c>
      <c r="B343" s="20">
        <v>410</v>
      </c>
      <c r="C343" s="21">
        <v>0.263425253991292</v>
      </c>
      <c r="D343" s="20">
        <v>604</v>
      </c>
      <c r="E343" s="20">
        <v>0</v>
      </c>
      <c r="F343" s="20">
        <v>118</v>
      </c>
      <c r="G343" s="24">
        <v>2</v>
      </c>
      <c r="H343" s="24">
        <v>0</v>
      </c>
      <c r="I343" s="23">
        <v>0</v>
      </c>
      <c r="J343" s="24">
        <v>1.5</v>
      </c>
      <c r="K343" s="25">
        <v>28</v>
      </c>
      <c r="L343" s="26">
        <v>3</v>
      </c>
      <c r="M343" s="23">
        <v>2.4</v>
      </c>
      <c r="N343" s="23">
        <v>200</v>
      </c>
      <c r="O343" s="23">
        <v>0.785</v>
      </c>
      <c r="P343" s="25">
        <v>500</v>
      </c>
      <c r="Q343" s="20">
        <v>24</v>
      </c>
      <c r="R343" s="20">
        <v>12</v>
      </c>
      <c r="S343" s="27">
        <v>35.58207</v>
      </c>
    </row>
    <row r="344" spans="1:19">
      <c r="A344" s="20">
        <v>656</v>
      </c>
      <c r="B344" s="20">
        <v>410</v>
      </c>
      <c r="C344" s="21">
        <v>0.263425253991292</v>
      </c>
      <c r="D344" s="20">
        <v>604</v>
      </c>
      <c r="E344" s="20">
        <v>0</v>
      </c>
      <c r="F344" s="20">
        <v>118</v>
      </c>
      <c r="G344" s="24">
        <v>2</v>
      </c>
      <c r="H344" s="24">
        <v>0</v>
      </c>
      <c r="I344" s="23">
        <v>0</v>
      </c>
      <c r="J344" s="24">
        <v>1.5</v>
      </c>
      <c r="K344" s="25">
        <v>28</v>
      </c>
      <c r="L344" s="26">
        <v>1</v>
      </c>
      <c r="M344" s="23">
        <v>2.4</v>
      </c>
      <c r="N344" s="23">
        <v>200</v>
      </c>
      <c r="O344" s="23">
        <v>0.785</v>
      </c>
      <c r="P344" s="25">
        <v>500</v>
      </c>
      <c r="Q344" s="20">
        <v>24</v>
      </c>
      <c r="R344" s="20">
        <v>12</v>
      </c>
      <c r="S344" s="27">
        <v>41.85441</v>
      </c>
    </row>
    <row r="345" spans="1:19">
      <c r="A345" s="20">
        <v>656</v>
      </c>
      <c r="B345" s="20">
        <v>410</v>
      </c>
      <c r="C345" s="21">
        <v>0.303592162554427</v>
      </c>
      <c r="D345" s="20">
        <v>604</v>
      </c>
      <c r="E345" s="20">
        <v>0</v>
      </c>
      <c r="F345" s="20">
        <v>118</v>
      </c>
      <c r="G345" s="24">
        <v>2</v>
      </c>
      <c r="H345" s="24">
        <v>0</v>
      </c>
      <c r="I345" s="23">
        <v>0</v>
      </c>
      <c r="J345" s="24">
        <v>1</v>
      </c>
      <c r="K345" s="25">
        <v>28</v>
      </c>
      <c r="L345" s="26">
        <v>2</v>
      </c>
      <c r="M345" s="23">
        <v>2.4</v>
      </c>
      <c r="N345" s="23">
        <v>200</v>
      </c>
      <c r="O345" s="23">
        <v>0.785</v>
      </c>
      <c r="P345" s="25">
        <v>500</v>
      </c>
      <c r="Q345" s="20">
        <v>24</v>
      </c>
      <c r="R345" s="20">
        <v>12</v>
      </c>
      <c r="S345" s="27">
        <v>38.51883</v>
      </c>
    </row>
    <row r="346" spans="1:19">
      <c r="A346" s="20">
        <v>656</v>
      </c>
      <c r="B346" s="20">
        <v>410</v>
      </c>
      <c r="C346" s="21">
        <v>0.303592162554427</v>
      </c>
      <c r="D346" s="20">
        <v>604</v>
      </c>
      <c r="E346" s="20">
        <v>0</v>
      </c>
      <c r="F346" s="20">
        <v>118</v>
      </c>
      <c r="G346" s="24">
        <v>2</v>
      </c>
      <c r="H346" s="24">
        <v>0</v>
      </c>
      <c r="I346" s="23">
        <v>0</v>
      </c>
      <c r="J346" s="24">
        <v>1</v>
      </c>
      <c r="K346" s="25">
        <v>28</v>
      </c>
      <c r="L346" s="26">
        <v>3</v>
      </c>
      <c r="M346" s="23">
        <v>2.4</v>
      </c>
      <c r="N346" s="23">
        <v>200</v>
      </c>
      <c r="O346" s="23">
        <v>0.785</v>
      </c>
      <c r="P346" s="25">
        <v>500</v>
      </c>
      <c r="Q346" s="20">
        <v>24</v>
      </c>
      <c r="R346" s="20">
        <v>12</v>
      </c>
      <c r="S346" s="27">
        <v>23.25492</v>
      </c>
    </row>
    <row r="347" spans="1:19">
      <c r="A347" s="20">
        <v>656</v>
      </c>
      <c r="B347" s="20">
        <v>410</v>
      </c>
      <c r="C347" s="21">
        <v>0.303592162554427</v>
      </c>
      <c r="D347" s="20">
        <v>604</v>
      </c>
      <c r="E347" s="20">
        <v>0</v>
      </c>
      <c r="F347" s="20">
        <v>118</v>
      </c>
      <c r="G347" s="24">
        <v>2</v>
      </c>
      <c r="H347" s="24">
        <v>0</v>
      </c>
      <c r="I347" s="23">
        <v>0</v>
      </c>
      <c r="J347" s="24">
        <v>1</v>
      </c>
      <c r="K347" s="25">
        <v>28</v>
      </c>
      <c r="L347" s="26">
        <v>1</v>
      </c>
      <c r="M347" s="23">
        <v>2.4</v>
      </c>
      <c r="N347" s="23">
        <v>200</v>
      </c>
      <c r="O347" s="23">
        <v>0.785</v>
      </c>
      <c r="P347" s="25">
        <v>500</v>
      </c>
      <c r="Q347" s="20">
        <v>24</v>
      </c>
      <c r="R347" s="20">
        <v>12</v>
      </c>
      <c r="S347" s="27">
        <v>31.88392</v>
      </c>
    </row>
    <row r="348" spans="1:19">
      <c r="A348" s="20">
        <v>656</v>
      </c>
      <c r="B348" s="20">
        <v>410</v>
      </c>
      <c r="C348" s="21">
        <v>0.303592162554427</v>
      </c>
      <c r="D348" s="20">
        <v>604</v>
      </c>
      <c r="E348" s="20">
        <v>0</v>
      </c>
      <c r="F348" s="20">
        <v>118</v>
      </c>
      <c r="G348" s="24">
        <v>2</v>
      </c>
      <c r="H348" s="24">
        <v>0</v>
      </c>
      <c r="I348" s="23">
        <v>0</v>
      </c>
      <c r="J348" s="24">
        <v>1.5</v>
      </c>
      <c r="K348" s="25">
        <v>28</v>
      </c>
      <c r="L348" s="26">
        <v>2</v>
      </c>
      <c r="M348" s="23">
        <v>2.4</v>
      </c>
      <c r="N348" s="23">
        <v>200</v>
      </c>
      <c r="O348" s="23">
        <v>0.785</v>
      </c>
      <c r="P348" s="25">
        <v>500</v>
      </c>
      <c r="Q348" s="20">
        <v>24</v>
      </c>
      <c r="R348" s="20">
        <v>12</v>
      </c>
      <c r="S348" s="27">
        <v>44.97246</v>
      </c>
    </row>
    <row r="349" spans="1:19">
      <c r="A349" s="20">
        <v>656</v>
      </c>
      <c r="B349" s="20">
        <v>410</v>
      </c>
      <c r="C349" s="21">
        <v>0.303592162554427</v>
      </c>
      <c r="D349" s="20">
        <v>604</v>
      </c>
      <c r="E349" s="20">
        <v>0</v>
      </c>
      <c r="F349" s="20">
        <v>118</v>
      </c>
      <c r="G349" s="24">
        <v>2</v>
      </c>
      <c r="H349" s="24">
        <v>0</v>
      </c>
      <c r="I349" s="23">
        <v>0</v>
      </c>
      <c r="J349" s="24">
        <v>1.5</v>
      </c>
      <c r="K349" s="25">
        <v>28</v>
      </c>
      <c r="L349" s="26">
        <v>3</v>
      </c>
      <c r="M349" s="23">
        <v>2.4</v>
      </c>
      <c r="N349" s="23">
        <v>200</v>
      </c>
      <c r="O349" s="23">
        <v>0.785</v>
      </c>
      <c r="P349" s="25">
        <v>500</v>
      </c>
      <c r="Q349" s="20">
        <v>24</v>
      </c>
      <c r="R349" s="20">
        <v>12</v>
      </c>
      <c r="S349" s="27">
        <v>31.1588</v>
      </c>
    </row>
    <row r="350" spans="1:19">
      <c r="A350" s="20">
        <v>656</v>
      </c>
      <c r="B350" s="20">
        <v>410</v>
      </c>
      <c r="C350" s="21">
        <v>0.303592162554427</v>
      </c>
      <c r="D350" s="20">
        <v>604</v>
      </c>
      <c r="E350" s="20">
        <v>0</v>
      </c>
      <c r="F350" s="20">
        <v>118</v>
      </c>
      <c r="G350" s="24">
        <v>2</v>
      </c>
      <c r="H350" s="24">
        <v>0</v>
      </c>
      <c r="I350" s="23">
        <v>0</v>
      </c>
      <c r="J350" s="24">
        <v>1.5</v>
      </c>
      <c r="K350" s="25">
        <v>28</v>
      </c>
      <c r="L350" s="26">
        <v>1</v>
      </c>
      <c r="M350" s="23">
        <v>2.4</v>
      </c>
      <c r="N350" s="23">
        <v>200</v>
      </c>
      <c r="O350" s="23">
        <v>0.785</v>
      </c>
      <c r="P350" s="25">
        <v>500</v>
      </c>
      <c r="Q350" s="20">
        <v>24</v>
      </c>
      <c r="R350" s="20">
        <v>12</v>
      </c>
      <c r="S350" s="27">
        <v>40.00534</v>
      </c>
    </row>
    <row r="351" spans="1:19">
      <c r="A351" s="20">
        <v>656</v>
      </c>
      <c r="B351" s="20">
        <v>410</v>
      </c>
      <c r="C351" s="21">
        <v>0.303592162554427</v>
      </c>
      <c r="D351" s="20">
        <v>604</v>
      </c>
      <c r="E351" s="20">
        <v>0</v>
      </c>
      <c r="F351" s="20">
        <v>118</v>
      </c>
      <c r="G351" s="24">
        <v>2</v>
      </c>
      <c r="H351" s="24">
        <v>0</v>
      </c>
      <c r="I351" s="23">
        <v>0</v>
      </c>
      <c r="J351" s="24">
        <v>2</v>
      </c>
      <c r="K351" s="25">
        <v>28</v>
      </c>
      <c r="L351" s="26">
        <v>2</v>
      </c>
      <c r="M351" s="23">
        <v>2.4</v>
      </c>
      <c r="N351" s="23">
        <v>200</v>
      </c>
      <c r="O351" s="23">
        <v>0.785</v>
      </c>
      <c r="P351" s="25">
        <v>500</v>
      </c>
      <c r="Q351" s="20">
        <v>24</v>
      </c>
      <c r="R351" s="20">
        <v>12</v>
      </c>
      <c r="S351" s="27">
        <v>42.39826</v>
      </c>
    </row>
    <row r="352" spans="1:19">
      <c r="A352" s="20">
        <v>656</v>
      </c>
      <c r="B352" s="20">
        <v>410</v>
      </c>
      <c r="C352" s="21">
        <v>0.303592162554427</v>
      </c>
      <c r="D352" s="20">
        <v>604</v>
      </c>
      <c r="E352" s="20">
        <v>0</v>
      </c>
      <c r="F352" s="20">
        <v>118</v>
      </c>
      <c r="G352" s="24">
        <v>2</v>
      </c>
      <c r="H352" s="24">
        <v>0</v>
      </c>
      <c r="I352" s="23">
        <v>0</v>
      </c>
      <c r="J352" s="24">
        <v>2</v>
      </c>
      <c r="K352" s="25">
        <v>28</v>
      </c>
      <c r="L352" s="26">
        <v>3</v>
      </c>
      <c r="M352" s="23">
        <v>2.4</v>
      </c>
      <c r="N352" s="23">
        <v>200</v>
      </c>
      <c r="O352" s="23">
        <v>0.785</v>
      </c>
      <c r="P352" s="25">
        <v>500</v>
      </c>
      <c r="Q352" s="20">
        <v>24</v>
      </c>
      <c r="R352" s="20">
        <v>12</v>
      </c>
      <c r="S352" s="27">
        <v>23.61748</v>
      </c>
    </row>
    <row r="353" spans="1:19">
      <c r="A353" s="20">
        <v>656</v>
      </c>
      <c r="B353" s="20">
        <v>410</v>
      </c>
      <c r="C353" s="21">
        <v>0.303592162554427</v>
      </c>
      <c r="D353" s="20">
        <v>604</v>
      </c>
      <c r="E353" s="20">
        <v>0</v>
      </c>
      <c r="F353" s="20">
        <v>118</v>
      </c>
      <c r="G353" s="24">
        <v>2</v>
      </c>
      <c r="H353" s="24">
        <v>0</v>
      </c>
      <c r="I353" s="23">
        <v>0</v>
      </c>
      <c r="J353" s="24">
        <v>2</v>
      </c>
      <c r="K353" s="25">
        <v>28</v>
      </c>
      <c r="L353" s="26">
        <v>1</v>
      </c>
      <c r="M353" s="23">
        <v>2.4</v>
      </c>
      <c r="N353" s="23">
        <v>200</v>
      </c>
      <c r="O353" s="23">
        <v>0.785</v>
      </c>
      <c r="P353" s="25">
        <v>500</v>
      </c>
      <c r="Q353" s="20">
        <v>24</v>
      </c>
      <c r="R353" s="20">
        <v>12</v>
      </c>
      <c r="S353" s="27">
        <v>34.85694</v>
      </c>
    </row>
    <row r="354" spans="1:19">
      <c r="A354" s="20">
        <v>200</v>
      </c>
      <c r="B354" s="20">
        <v>200</v>
      </c>
      <c r="C354" s="21">
        <v>0.3</v>
      </c>
      <c r="D354" s="20">
        <v>800</v>
      </c>
      <c r="E354" s="20">
        <v>0</v>
      </c>
      <c r="F354" s="20">
        <v>0</v>
      </c>
      <c r="G354" s="24">
        <v>22</v>
      </c>
      <c r="H354" s="24">
        <v>11</v>
      </c>
      <c r="I354" s="23">
        <v>0</v>
      </c>
      <c r="J354" s="24">
        <v>2</v>
      </c>
      <c r="K354" s="25">
        <v>28</v>
      </c>
      <c r="L354" s="26">
        <v>2</v>
      </c>
      <c r="M354" s="23">
        <v>2.9</v>
      </c>
      <c r="N354" s="23">
        <v>116</v>
      </c>
      <c r="O354" s="23">
        <v>0.97</v>
      </c>
      <c r="P354" s="25">
        <v>300</v>
      </c>
      <c r="Q354" s="20">
        <v>40</v>
      </c>
      <c r="R354" s="20">
        <v>12</v>
      </c>
      <c r="S354" s="27">
        <v>17.71691</v>
      </c>
    </row>
    <row r="355" spans="1:19">
      <c r="A355" s="20">
        <v>200</v>
      </c>
      <c r="B355" s="20">
        <v>200</v>
      </c>
      <c r="C355" s="21">
        <v>0.3</v>
      </c>
      <c r="D355" s="20">
        <v>800</v>
      </c>
      <c r="E355" s="20">
        <v>0</v>
      </c>
      <c r="F355" s="20">
        <v>0</v>
      </c>
      <c r="G355" s="24">
        <v>22</v>
      </c>
      <c r="H355" s="24">
        <v>11</v>
      </c>
      <c r="I355" s="23">
        <v>0</v>
      </c>
      <c r="J355" s="24">
        <v>2</v>
      </c>
      <c r="K355" s="25">
        <v>28</v>
      </c>
      <c r="L355" s="26">
        <v>2</v>
      </c>
      <c r="M355" s="23">
        <v>2.9</v>
      </c>
      <c r="N355" s="23">
        <v>116</v>
      </c>
      <c r="O355" s="23">
        <v>0.97</v>
      </c>
      <c r="P355" s="25">
        <v>300</v>
      </c>
      <c r="Q355" s="20">
        <v>40</v>
      </c>
      <c r="R355" s="20">
        <v>12</v>
      </c>
      <c r="S355" s="27">
        <v>19.07754</v>
      </c>
    </row>
    <row r="356" spans="1:19">
      <c r="A356" s="20">
        <v>200</v>
      </c>
      <c r="B356" s="20">
        <v>200</v>
      </c>
      <c r="C356" s="21">
        <v>0.3</v>
      </c>
      <c r="D356" s="20">
        <v>800</v>
      </c>
      <c r="E356" s="20">
        <v>0</v>
      </c>
      <c r="F356" s="20">
        <v>0</v>
      </c>
      <c r="G356" s="24">
        <v>22</v>
      </c>
      <c r="H356" s="24">
        <v>11</v>
      </c>
      <c r="I356" s="23">
        <v>0</v>
      </c>
      <c r="J356" s="24">
        <v>2</v>
      </c>
      <c r="K356" s="25">
        <v>28</v>
      </c>
      <c r="L356" s="26">
        <v>2</v>
      </c>
      <c r="M356" s="23">
        <v>2.9</v>
      </c>
      <c r="N356" s="23">
        <v>116</v>
      </c>
      <c r="O356" s="23">
        <v>0.97</v>
      </c>
      <c r="P356" s="25">
        <v>300</v>
      </c>
      <c r="Q356" s="20">
        <v>40</v>
      </c>
      <c r="R356" s="20">
        <v>12</v>
      </c>
      <c r="S356" s="27">
        <v>20.54731</v>
      </c>
    </row>
    <row r="357" spans="1:19">
      <c r="A357" s="20">
        <v>200</v>
      </c>
      <c r="B357" s="20">
        <v>200</v>
      </c>
      <c r="C357" s="21">
        <v>0.3</v>
      </c>
      <c r="D357" s="20">
        <v>800</v>
      </c>
      <c r="E357" s="20">
        <v>0</v>
      </c>
      <c r="F357" s="20">
        <v>0</v>
      </c>
      <c r="G357" s="24">
        <v>22</v>
      </c>
      <c r="H357" s="24">
        <v>11</v>
      </c>
      <c r="I357" s="23">
        <v>0</v>
      </c>
      <c r="J357" s="24">
        <v>2</v>
      </c>
      <c r="K357" s="25">
        <v>28</v>
      </c>
      <c r="L357" s="26">
        <v>3</v>
      </c>
      <c r="M357" s="23">
        <v>2.9</v>
      </c>
      <c r="N357" s="23">
        <v>116</v>
      </c>
      <c r="O357" s="23">
        <v>0.97</v>
      </c>
      <c r="P357" s="25">
        <v>300</v>
      </c>
      <c r="Q357" s="20">
        <v>40</v>
      </c>
      <c r="R357" s="20">
        <v>12</v>
      </c>
      <c r="S357" s="27">
        <v>14.8865</v>
      </c>
    </row>
    <row r="358" spans="1:19">
      <c r="A358" s="20">
        <v>200</v>
      </c>
      <c r="B358" s="20">
        <v>200</v>
      </c>
      <c r="C358" s="21">
        <v>0.3</v>
      </c>
      <c r="D358" s="20">
        <v>800</v>
      </c>
      <c r="E358" s="20">
        <v>0</v>
      </c>
      <c r="F358" s="20">
        <v>0</v>
      </c>
      <c r="G358" s="24">
        <v>22</v>
      </c>
      <c r="H358" s="24">
        <v>11</v>
      </c>
      <c r="I358" s="23">
        <v>0</v>
      </c>
      <c r="J358" s="24">
        <v>2</v>
      </c>
      <c r="K358" s="25">
        <v>28</v>
      </c>
      <c r="L358" s="26">
        <v>3</v>
      </c>
      <c r="M358" s="23">
        <v>2.9</v>
      </c>
      <c r="N358" s="23">
        <v>116</v>
      </c>
      <c r="O358" s="23">
        <v>0.97</v>
      </c>
      <c r="P358" s="25">
        <v>300</v>
      </c>
      <c r="Q358" s="20">
        <v>40</v>
      </c>
      <c r="R358" s="20">
        <v>12</v>
      </c>
      <c r="S358" s="27">
        <v>16.70553</v>
      </c>
    </row>
    <row r="359" spans="1:19">
      <c r="A359" s="20">
        <v>200</v>
      </c>
      <c r="B359" s="20">
        <v>200</v>
      </c>
      <c r="C359" s="21">
        <v>0.3</v>
      </c>
      <c r="D359" s="20">
        <v>800</v>
      </c>
      <c r="E359" s="20">
        <v>0</v>
      </c>
      <c r="F359" s="20">
        <v>0</v>
      </c>
      <c r="G359" s="24">
        <v>22</v>
      </c>
      <c r="H359" s="24">
        <v>11</v>
      </c>
      <c r="I359" s="23">
        <v>0</v>
      </c>
      <c r="J359" s="24">
        <v>2</v>
      </c>
      <c r="K359" s="25">
        <v>28</v>
      </c>
      <c r="L359" s="26">
        <v>3</v>
      </c>
      <c r="M359" s="23">
        <v>2.9</v>
      </c>
      <c r="N359" s="23">
        <v>116</v>
      </c>
      <c r="O359" s="23">
        <v>0.97</v>
      </c>
      <c r="P359" s="25">
        <v>300</v>
      </c>
      <c r="Q359" s="20">
        <v>40</v>
      </c>
      <c r="R359" s="20">
        <v>12</v>
      </c>
      <c r="S359" s="27">
        <v>16.65459</v>
      </c>
    </row>
    <row r="360" spans="1:19">
      <c r="A360" s="20">
        <v>200</v>
      </c>
      <c r="B360" s="20">
        <v>200</v>
      </c>
      <c r="C360" s="21">
        <v>0.3</v>
      </c>
      <c r="D360" s="20">
        <v>800</v>
      </c>
      <c r="E360" s="20">
        <v>0</v>
      </c>
      <c r="F360" s="20">
        <v>0</v>
      </c>
      <c r="G360" s="24">
        <v>22</v>
      </c>
      <c r="H360" s="24">
        <v>11</v>
      </c>
      <c r="I360" s="23">
        <v>0</v>
      </c>
      <c r="J360" s="24">
        <v>2</v>
      </c>
      <c r="K360" s="25">
        <v>28</v>
      </c>
      <c r="L360" s="26">
        <v>1</v>
      </c>
      <c r="M360" s="23">
        <v>2.9</v>
      </c>
      <c r="N360" s="23">
        <v>116</v>
      </c>
      <c r="O360" s="23">
        <v>0.97</v>
      </c>
      <c r="P360" s="25">
        <v>300</v>
      </c>
      <c r="Q360" s="20">
        <v>40</v>
      </c>
      <c r="R360" s="20">
        <v>12</v>
      </c>
      <c r="S360" s="27">
        <v>20.19078</v>
      </c>
    </row>
    <row r="361" spans="1:19">
      <c r="A361" s="20">
        <v>200</v>
      </c>
      <c r="B361" s="20">
        <v>200</v>
      </c>
      <c r="C361" s="21">
        <v>0.3</v>
      </c>
      <c r="D361" s="20">
        <v>800</v>
      </c>
      <c r="E361" s="20">
        <v>0</v>
      </c>
      <c r="F361" s="20">
        <v>0</v>
      </c>
      <c r="G361" s="24">
        <v>22</v>
      </c>
      <c r="H361" s="24">
        <v>11</v>
      </c>
      <c r="I361" s="23">
        <v>0</v>
      </c>
      <c r="J361" s="24">
        <v>2</v>
      </c>
      <c r="K361" s="25">
        <v>28</v>
      </c>
      <c r="L361" s="26">
        <v>1</v>
      </c>
      <c r="M361" s="23">
        <v>2.9</v>
      </c>
      <c r="N361" s="23">
        <v>116</v>
      </c>
      <c r="O361" s="23">
        <v>0.97</v>
      </c>
      <c r="P361" s="25">
        <v>300</v>
      </c>
      <c r="Q361" s="20">
        <v>40</v>
      </c>
      <c r="R361" s="20">
        <v>12</v>
      </c>
      <c r="S361" s="27">
        <v>21.95888</v>
      </c>
    </row>
    <row r="362" spans="1:19">
      <c r="A362" s="20">
        <v>200</v>
      </c>
      <c r="B362" s="20">
        <v>200</v>
      </c>
      <c r="C362" s="21">
        <v>0.3</v>
      </c>
      <c r="D362" s="20">
        <v>800</v>
      </c>
      <c r="E362" s="20">
        <v>0</v>
      </c>
      <c r="F362" s="20">
        <v>0</v>
      </c>
      <c r="G362" s="24">
        <v>22</v>
      </c>
      <c r="H362" s="24">
        <v>11</v>
      </c>
      <c r="I362" s="23">
        <v>0</v>
      </c>
      <c r="J362" s="24">
        <v>2</v>
      </c>
      <c r="K362" s="25">
        <v>28</v>
      </c>
      <c r="L362" s="26">
        <v>1</v>
      </c>
      <c r="M362" s="23">
        <v>2.9</v>
      </c>
      <c r="N362" s="23">
        <v>116</v>
      </c>
      <c r="O362" s="23">
        <v>0.97</v>
      </c>
      <c r="P362" s="25">
        <v>300</v>
      </c>
      <c r="Q362" s="20">
        <v>40</v>
      </c>
      <c r="R362" s="20">
        <v>12</v>
      </c>
      <c r="S362" s="27">
        <v>21.95888</v>
      </c>
    </row>
    <row r="363" spans="1:19">
      <c r="A363" s="20">
        <v>1000</v>
      </c>
      <c r="B363" s="20">
        <v>800</v>
      </c>
      <c r="C363" s="21">
        <v>0.33</v>
      </c>
      <c r="D363" s="20">
        <f t="shared" ref="D363:D392" si="0">1000-B363</f>
        <v>200</v>
      </c>
      <c r="E363" s="20">
        <v>0</v>
      </c>
      <c r="F363" s="20">
        <v>0</v>
      </c>
      <c r="G363" s="24">
        <v>15.5</v>
      </c>
      <c r="H363" s="24">
        <v>3</v>
      </c>
      <c r="I363" s="23">
        <v>0</v>
      </c>
      <c r="J363" s="24">
        <v>2</v>
      </c>
      <c r="K363" s="25">
        <v>28</v>
      </c>
      <c r="L363" s="26">
        <v>2</v>
      </c>
      <c r="M363" s="23">
        <v>2.9</v>
      </c>
      <c r="N363" s="23">
        <v>116</v>
      </c>
      <c r="O363" s="23">
        <v>0.97</v>
      </c>
      <c r="P363" s="25">
        <v>300</v>
      </c>
      <c r="Q363" s="20">
        <v>40</v>
      </c>
      <c r="R363" s="20">
        <v>12</v>
      </c>
      <c r="S363" s="27">
        <v>37.5</v>
      </c>
    </row>
    <row r="364" spans="1:19">
      <c r="A364" s="20">
        <v>1000</v>
      </c>
      <c r="B364" s="20">
        <v>800</v>
      </c>
      <c r="C364" s="21">
        <v>0.33</v>
      </c>
      <c r="D364" s="20">
        <f t="shared" si="0"/>
        <v>200</v>
      </c>
      <c r="E364" s="20">
        <v>0</v>
      </c>
      <c r="F364" s="20">
        <v>0</v>
      </c>
      <c r="G364" s="24">
        <v>15.5</v>
      </c>
      <c r="H364" s="24">
        <v>3</v>
      </c>
      <c r="I364" s="23">
        <v>0</v>
      </c>
      <c r="J364" s="24">
        <v>2</v>
      </c>
      <c r="K364" s="25">
        <v>28</v>
      </c>
      <c r="L364" s="26">
        <v>3</v>
      </c>
      <c r="M364" s="23">
        <v>2.9</v>
      </c>
      <c r="N364" s="23">
        <v>116</v>
      </c>
      <c r="O364" s="23">
        <v>0.97</v>
      </c>
      <c r="P364" s="25">
        <v>300</v>
      </c>
      <c r="Q364" s="20">
        <v>40</v>
      </c>
      <c r="R364" s="20">
        <v>12</v>
      </c>
      <c r="S364" s="27">
        <v>37.6</v>
      </c>
    </row>
    <row r="365" spans="1:19">
      <c r="A365" s="20">
        <v>1000</v>
      </c>
      <c r="B365" s="20">
        <v>800</v>
      </c>
      <c r="C365" s="21">
        <v>0.33</v>
      </c>
      <c r="D365" s="20">
        <f t="shared" si="0"/>
        <v>200</v>
      </c>
      <c r="E365" s="20">
        <v>0</v>
      </c>
      <c r="F365" s="20">
        <v>0</v>
      </c>
      <c r="G365" s="24">
        <v>15.5</v>
      </c>
      <c r="H365" s="24">
        <v>3</v>
      </c>
      <c r="I365" s="23">
        <v>0</v>
      </c>
      <c r="J365" s="24">
        <v>2</v>
      </c>
      <c r="K365" s="25">
        <v>28</v>
      </c>
      <c r="L365" s="26">
        <v>1</v>
      </c>
      <c r="M365" s="23">
        <v>2.9</v>
      </c>
      <c r="N365" s="23">
        <v>116</v>
      </c>
      <c r="O365" s="23">
        <v>0.97</v>
      </c>
      <c r="P365" s="25">
        <v>300</v>
      </c>
      <c r="Q365" s="20">
        <v>40</v>
      </c>
      <c r="R365" s="20">
        <v>12</v>
      </c>
      <c r="S365" s="27">
        <v>38.9</v>
      </c>
    </row>
    <row r="366" spans="1:19">
      <c r="A366" s="20">
        <v>800</v>
      </c>
      <c r="B366" s="20">
        <v>800</v>
      </c>
      <c r="C366" s="21">
        <v>0.33</v>
      </c>
      <c r="D366" s="20">
        <f t="shared" si="0"/>
        <v>200</v>
      </c>
      <c r="E366" s="20">
        <v>0</v>
      </c>
      <c r="F366" s="20">
        <v>0</v>
      </c>
      <c r="G366" s="24">
        <v>5.3</v>
      </c>
      <c r="H366" s="24">
        <v>3</v>
      </c>
      <c r="I366" s="23">
        <v>0</v>
      </c>
      <c r="J366" s="24">
        <v>2</v>
      </c>
      <c r="K366" s="25">
        <v>28</v>
      </c>
      <c r="L366" s="26">
        <v>2</v>
      </c>
      <c r="M366" s="23">
        <v>2.9</v>
      </c>
      <c r="N366" s="23">
        <v>116</v>
      </c>
      <c r="O366" s="23">
        <v>0.97</v>
      </c>
      <c r="P366" s="25">
        <v>300</v>
      </c>
      <c r="Q366" s="20">
        <v>40</v>
      </c>
      <c r="R366" s="20">
        <v>12</v>
      </c>
      <c r="S366" s="27">
        <v>38.6</v>
      </c>
    </row>
    <row r="367" spans="1:19">
      <c r="A367" s="20">
        <v>800</v>
      </c>
      <c r="B367" s="20">
        <v>800</v>
      </c>
      <c r="C367" s="21">
        <v>0.33</v>
      </c>
      <c r="D367" s="20">
        <f t="shared" si="0"/>
        <v>200</v>
      </c>
      <c r="E367" s="20">
        <v>0</v>
      </c>
      <c r="F367" s="20">
        <v>0</v>
      </c>
      <c r="G367" s="24">
        <v>5.3</v>
      </c>
      <c r="H367" s="24">
        <v>3</v>
      </c>
      <c r="I367" s="23">
        <v>0</v>
      </c>
      <c r="J367" s="24">
        <v>2</v>
      </c>
      <c r="K367" s="25">
        <v>28</v>
      </c>
      <c r="L367" s="26">
        <v>3</v>
      </c>
      <c r="M367" s="23">
        <v>2.9</v>
      </c>
      <c r="N367" s="23">
        <v>116</v>
      </c>
      <c r="O367" s="23">
        <v>0.97</v>
      </c>
      <c r="P367" s="25">
        <v>300</v>
      </c>
      <c r="Q367" s="20">
        <v>40</v>
      </c>
      <c r="R367" s="20">
        <v>12</v>
      </c>
      <c r="S367" s="27">
        <v>40.1</v>
      </c>
    </row>
    <row r="368" spans="1:19">
      <c r="A368" s="20">
        <v>800</v>
      </c>
      <c r="B368" s="20">
        <v>800</v>
      </c>
      <c r="C368" s="21">
        <v>0.33</v>
      </c>
      <c r="D368" s="20">
        <f t="shared" si="0"/>
        <v>200</v>
      </c>
      <c r="E368" s="20">
        <v>0</v>
      </c>
      <c r="F368" s="20">
        <v>0</v>
      </c>
      <c r="G368" s="24">
        <v>5.3</v>
      </c>
      <c r="H368" s="24">
        <v>3</v>
      </c>
      <c r="I368" s="23">
        <v>0</v>
      </c>
      <c r="J368" s="24">
        <v>2</v>
      </c>
      <c r="K368" s="25">
        <v>28</v>
      </c>
      <c r="L368" s="26">
        <v>1</v>
      </c>
      <c r="M368" s="23">
        <v>2.9</v>
      </c>
      <c r="N368" s="23">
        <v>116</v>
      </c>
      <c r="O368" s="23">
        <v>0.97</v>
      </c>
      <c r="P368" s="25">
        <v>300</v>
      </c>
      <c r="Q368" s="20">
        <v>40</v>
      </c>
      <c r="R368" s="20">
        <v>12</v>
      </c>
      <c r="S368" s="27">
        <v>42.5</v>
      </c>
    </row>
    <row r="369" spans="1:19">
      <c r="A369" s="20">
        <v>700</v>
      </c>
      <c r="B369" s="20">
        <v>800</v>
      </c>
      <c r="C369" s="21">
        <v>0.33</v>
      </c>
      <c r="D369" s="20">
        <f t="shared" si="0"/>
        <v>200</v>
      </c>
      <c r="E369" s="20">
        <v>0</v>
      </c>
      <c r="F369" s="20">
        <v>0</v>
      </c>
      <c r="G369" s="24">
        <v>4</v>
      </c>
      <c r="H369" s="24">
        <v>3</v>
      </c>
      <c r="I369" s="23">
        <v>0</v>
      </c>
      <c r="J369" s="24">
        <v>2</v>
      </c>
      <c r="K369" s="25">
        <v>28</v>
      </c>
      <c r="L369" s="26">
        <v>2</v>
      </c>
      <c r="M369" s="23">
        <v>2.9</v>
      </c>
      <c r="N369" s="23">
        <v>116</v>
      </c>
      <c r="O369" s="23">
        <v>0.97</v>
      </c>
      <c r="P369" s="25">
        <v>300</v>
      </c>
      <c r="Q369" s="20">
        <v>40</v>
      </c>
      <c r="R369" s="20">
        <v>12</v>
      </c>
      <c r="S369" s="27">
        <v>44.8</v>
      </c>
    </row>
    <row r="370" spans="1:19">
      <c r="A370" s="20">
        <v>700</v>
      </c>
      <c r="B370" s="20">
        <v>800</v>
      </c>
      <c r="C370" s="21">
        <v>0.33</v>
      </c>
      <c r="D370" s="20">
        <f t="shared" si="0"/>
        <v>200</v>
      </c>
      <c r="E370" s="20">
        <v>0</v>
      </c>
      <c r="F370" s="20">
        <v>0</v>
      </c>
      <c r="G370" s="24">
        <v>4</v>
      </c>
      <c r="H370" s="24">
        <v>3</v>
      </c>
      <c r="I370" s="23">
        <v>0</v>
      </c>
      <c r="J370" s="24">
        <v>2</v>
      </c>
      <c r="K370" s="25">
        <v>28</v>
      </c>
      <c r="L370" s="26">
        <v>3</v>
      </c>
      <c r="M370" s="23">
        <v>2.9</v>
      </c>
      <c r="N370" s="23">
        <v>116</v>
      </c>
      <c r="O370" s="23">
        <v>0.97</v>
      </c>
      <c r="P370" s="25">
        <v>300</v>
      </c>
      <c r="Q370" s="20">
        <v>40</v>
      </c>
      <c r="R370" s="20">
        <v>12</v>
      </c>
      <c r="S370" s="27">
        <v>47</v>
      </c>
    </row>
    <row r="371" spans="1:19">
      <c r="A371" s="20">
        <v>700</v>
      </c>
      <c r="B371" s="20">
        <v>800</v>
      </c>
      <c r="C371" s="21">
        <v>0.33</v>
      </c>
      <c r="D371" s="20">
        <f t="shared" si="0"/>
        <v>200</v>
      </c>
      <c r="E371" s="20">
        <v>0</v>
      </c>
      <c r="F371" s="20">
        <v>0</v>
      </c>
      <c r="G371" s="24">
        <v>4</v>
      </c>
      <c r="H371" s="24">
        <v>3</v>
      </c>
      <c r="I371" s="23">
        <v>0</v>
      </c>
      <c r="J371" s="24">
        <v>2</v>
      </c>
      <c r="K371" s="25">
        <v>28</v>
      </c>
      <c r="L371" s="26">
        <v>1</v>
      </c>
      <c r="M371" s="23">
        <v>2.9</v>
      </c>
      <c r="N371" s="23">
        <v>116</v>
      </c>
      <c r="O371" s="23">
        <v>0.97</v>
      </c>
      <c r="P371" s="25">
        <v>300</v>
      </c>
      <c r="Q371" s="20">
        <v>40</v>
      </c>
      <c r="R371" s="20">
        <v>12</v>
      </c>
      <c r="S371" s="27">
        <v>48.8</v>
      </c>
    </row>
    <row r="372" spans="1:19">
      <c r="A372" s="20">
        <v>600</v>
      </c>
      <c r="B372" s="20">
        <v>800</v>
      </c>
      <c r="C372" s="21">
        <v>0.33</v>
      </c>
      <c r="D372" s="20">
        <f t="shared" si="0"/>
        <v>200</v>
      </c>
      <c r="E372" s="20">
        <v>0</v>
      </c>
      <c r="F372" s="20">
        <v>0</v>
      </c>
      <c r="G372" s="24">
        <v>3.5</v>
      </c>
      <c r="H372" s="24">
        <v>3</v>
      </c>
      <c r="I372" s="23">
        <v>0</v>
      </c>
      <c r="J372" s="24">
        <v>2</v>
      </c>
      <c r="K372" s="25">
        <v>28</v>
      </c>
      <c r="L372" s="26">
        <v>2</v>
      </c>
      <c r="M372" s="23">
        <v>2.9</v>
      </c>
      <c r="N372" s="23">
        <v>116</v>
      </c>
      <c r="O372" s="23">
        <v>0.97</v>
      </c>
      <c r="P372" s="25">
        <v>300</v>
      </c>
      <c r="Q372" s="20">
        <v>40</v>
      </c>
      <c r="R372" s="20">
        <v>12</v>
      </c>
      <c r="S372" s="27">
        <v>39.8</v>
      </c>
    </row>
    <row r="373" spans="1:19">
      <c r="A373" s="20">
        <v>600</v>
      </c>
      <c r="B373" s="20">
        <v>800</v>
      </c>
      <c r="C373" s="21">
        <v>0.33</v>
      </c>
      <c r="D373" s="20">
        <f t="shared" si="0"/>
        <v>200</v>
      </c>
      <c r="E373" s="20">
        <v>0</v>
      </c>
      <c r="F373" s="20">
        <v>0</v>
      </c>
      <c r="G373" s="24">
        <v>3.5</v>
      </c>
      <c r="H373" s="24">
        <v>3</v>
      </c>
      <c r="I373" s="23">
        <v>0</v>
      </c>
      <c r="J373" s="24">
        <v>2</v>
      </c>
      <c r="K373" s="25">
        <v>28</v>
      </c>
      <c r="L373" s="26">
        <v>3</v>
      </c>
      <c r="M373" s="23">
        <v>2.9</v>
      </c>
      <c r="N373" s="23">
        <v>116</v>
      </c>
      <c r="O373" s="23">
        <v>0.97</v>
      </c>
      <c r="P373" s="25">
        <v>300</v>
      </c>
      <c r="Q373" s="20">
        <v>40</v>
      </c>
      <c r="R373" s="20">
        <v>12</v>
      </c>
      <c r="S373" s="27">
        <v>40.9</v>
      </c>
    </row>
    <row r="374" spans="1:19">
      <c r="A374" s="20">
        <v>600</v>
      </c>
      <c r="B374" s="20">
        <v>800</v>
      </c>
      <c r="C374" s="21">
        <v>0.33</v>
      </c>
      <c r="D374" s="20">
        <f t="shared" si="0"/>
        <v>200</v>
      </c>
      <c r="E374" s="20">
        <v>0</v>
      </c>
      <c r="F374" s="20">
        <v>0</v>
      </c>
      <c r="G374" s="24">
        <v>3.5</v>
      </c>
      <c r="H374" s="24">
        <v>3</v>
      </c>
      <c r="I374" s="23">
        <v>0</v>
      </c>
      <c r="J374" s="24">
        <v>2</v>
      </c>
      <c r="K374" s="25">
        <v>28</v>
      </c>
      <c r="L374" s="26">
        <v>1</v>
      </c>
      <c r="M374" s="23">
        <v>2.9</v>
      </c>
      <c r="N374" s="23">
        <v>116</v>
      </c>
      <c r="O374" s="23">
        <v>0.97</v>
      </c>
      <c r="P374" s="25">
        <v>300</v>
      </c>
      <c r="Q374" s="20">
        <v>40</v>
      </c>
      <c r="R374" s="20">
        <v>12</v>
      </c>
      <c r="S374" s="27">
        <v>43.6</v>
      </c>
    </row>
    <row r="375" spans="1:19">
      <c r="A375" s="20">
        <v>500</v>
      </c>
      <c r="B375" s="20">
        <v>800</v>
      </c>
      <c r="C375" s="21">
        <v>0.33</v>
      </c>
      <c r="D375" s="20">
        <f t="shared" si="0"/>
        <v>200</v>
      </c>
      <c r="E375" s="20">
        <v>0</v>
      </c>
      <c r="F375" s="20">
        <v>0</v>
      </c>
      <c r="G375" s="24">
        <v>3.2</v>
      </c>
      <c r="H375" s="24">
        <v>3</v>
      </c>
      <c r="I375" s="23">
        <v>0</v>
      </c>
      <c r="J375" s="24">
        <v>2</v>
      </c>
      <c r="K375" s="25">
        <v>28</v>
      </c>
      <c r="L375" s="26">
        <v>2</v>
      </c>
      <c r="M375" s="23">
        <v>2.9</v>
      </c>
      <c r="N375" s="23">
        <v>116</v>
      </c>
      <c r="O375" s="23">
        <v>0.97</v>
      </c>
      <c r="P375" s="25">
        <v>300</v>
      </c>
      <c r="Q375" s="20">
        <v>40</v>
      </c>
      <c r="R375" s="20">
        <v>12</v>
      </c>
      <c r="S375" s="27">
        <v>32</v>
      </c>
    </row>
    <row r="376" spans="1:19">
      <c r="A376" s="20">
        <v>500</v>
      </c>
      <c r="B376" s="20">
        <v>800</v>
      </c>
      <c r="C376" s="21">
        <v>0.33</v>
      </c>
      <c r="D376" s="20">
        <f t="shared" si="0"/>
        <v>200</v>
      </c>
      <c r="E376" s="20">
        <v>0</v>
      </c>
      <c r="F376" s="20">
        <v>0</v>
      </c>
      <c r="G376" s="24">
        <v>3.2</v>
      </c>
      <c r="H376" s="24">
        <v>3</v>
      </c>
      <c r="I376" s="23">
        <v>0</v>
      </c>
      <c r="J376" s="24">
        <v>2</v>
      </c>
      <c r="K376" s="25">
        <v>28</v>
      </c>
      <c r="L376" s="26">
        <v>3</v>
      </c>
      <c r="M376" s="23">
        <v>2.9</v>
      </c>
      <c r="N376" s="23">
        <v>116</v>
      </c>
      <c r="O376" s="23">
        <v>0.97</v>
      </c>
      <c r="P376" s="25">
        <v>300</v>
      </c>
      <c r="Q376" s="20">
        <v>40</v>
      </c>
      <c r="R376" s="20">
        <v>12</v>
      </c>
      <c r="S376" s="27">
        <v>35.2</v>
      </c>
    </row>
    <row r="377" spans="1:19">
      <c r="A377" s="20">
        <v>500</v>
      </c>
      <c r="B377" s="20">
        <v>800</v>
      </c>
      <c r="C377" s="21">
        <v>0.33</v>
      </c>
      <c r="D377" s="20">
        <f t="shared" si="0"/>
        <v>200</v>
      </c>
      <c r="E377" s="20">
        <v>0</v>
      </c>
      <c r="F377" s="20">
        <v>0</v>
      </c>
      <c r="G377" s="24">
        <v>3.2</v>
      </c>
      <c r="H377" s="24">
        <v>3</v>
      </c>
      <c r="I377" s="23">
        <v>0</v>
      </c>
      <c r="J377" s="24">
        <v>2</v>
      </c>
      <c r="K377" s="25">
        <v>28</v>
      </c>
      <c r="L377" s="26">
        <v>1</v>
      </c>
      <c r="M377" s="23">
        <v>2.9</v>
      </c>
      <c r="N377" s="23">
        <v>116</v>
      </c>
      <c r="O377" s="23">
        <v>0.97</v>
      </c>
      <c r="P377" s="25">
        <v>300</v>
      </c>
      <c r="Q377" s="20">
        <v>40</v>
      </c>
      <c r="R377" s="20">
        <v>12</v>
      </c>
      <c r="S377" s="27">
        <v>37.5</v>
      </c>
    </row>
    <row r="378" spans="1:19">
      <c r="A378" s="20">
        <v>1000</v>
      </c>
      <c r="B378" s="20">
        <v>800</v>
      </c>
      <c r="C378" s="21">
        <v>0.33</v>
      </c>
      <c r="D378" s="20">
        <f t="shared" si="0"/>
        <v>200</v>
      </c>
      <c r="E378" s="20">
        <v>0</v>
      </c>
      <c r="F378" s="20">
        <v>0</v>
      </c>
      <c r="G378" s="24">
        <v>15.5</v>
      </c>
      <c r="H378" s="24">
        <v>3</v>
      </c>
      <c r="I378" s="23">
        <v>0</v>
      </c>
      <c r="J378" s="24">
        <v>2</v>
      </c>
      <c r="K378" s="25">
        <v>7</v>
      </c>
      <c r="L378" s="26">
        <v>2</v>
      </c>
      <c r="M378" s="23">
        <v>2.9</v>
      </c>
      <c r="N378" s="23">
        <v>116</v>
      </c>
      <c r="O378" s="23">
        <v>0.97</v>
      </c>
      <c r="P378" s="25">
        <v>300</v>
      </c>
      <c r="Q378" s="20">
        <v>40</v>
      </c>
      <c r="R378" s="20">
        <v>12</v>
      </c>
      <c r="S378" s="27">
        <v>26.9</v>
      </c>
    </row>
    <row r="379" spans="1:19">
      <c r="A379" s="20">
        <v>1000</v>
      </c>
      <c r="B379" s="20">
        <v>800</v>
      </c>
      <c r="C379" s="21">
        <v>0.33</v>
      </c>
      <c r="D379" s="20">
        <f t="shared" si="0"/>
        <v>200</v>
      </c>
      <c r="E379" s="20">
        <v>0</v>
      </c>
      <c r="F379" s="20">
        <v>0</v>
      </c>
      <c r="G379" s="24">
        <v>15.5</v>
      </c>
      <c r="H379" s="24">
        <v>3</v>
      </c>
      <c r="I379" s="23">
        <v>0</v>
      </c>
      <c r="J379" s="24">
        <v>2</v>
      </c>
      <c r="K379" s="25">
        <v>7</v>
      </c>
      <c r="L379" s="26">
        <v>3</v>
      </c>
      <c r="M379" s="23">
        <v>2.9</v>
      </c>
      <c r="N379" s="23">
        <v>116</v>
      </c>
      <c r="O379" s="23">
        <v>0.97</v>
      </c>
      <c r="P379" s="25">
        <v>300</v>
      </c>
      <c r="Q379" s="20">
        <v>40</v>
      </c>
      <c r="R379" s="20">
        <v>12</v>
      </c>
      <c r="S379" s="27">
        <v>28</v>
      </c>
    </row>
    <row r="380" spans="1:19">
      <c r="A380" s="20">
        <v>1000</v>
      </c>
      <c r="B380" s="20">
        <v>800</v>
      </c>
      <c r="C380" s="21">
        <v>0.33</v>
      </c>
      <c r="D380" s="20">
        <f t="shared" si="0"/>
        <v>200</v>
      </c>
      <c r="E380" s="20">
        <v>0</v>
      </c>
      <c r="F380" s="20">
        <v>0</v>
      </c>
      <c r="G380" s="24">
        <v>15.5</v>
      </c>
      <c r="H380" s="24">
        <v>3</v>
      </c>
      <c r="I380" s="23">
        <v>0</v>
      </c>
      <c r="J380" s="24">
        <v>2</v>
      </c>
      <c r="K380" s="25">
        <v>7</v>
      </c>
      <c r="L380" s="26">
        <v>1</v>
      </c>
      <c r="M380" s="23">
        <v>2.9</v>
      </c>
      <c r="N380" s="23">
        <v>116</v>
      </c>
      <c r="O380" s="23">
        <v>0.97</v>
      </c>
      <c r="P380" s="25">
        <v>300</v>
      </c>
      <c r="Q380" s="20">
        <v>40</v>
      </c>
      <c r="R380" s="20">
        <v>12</v>
      </c>
      <c r="S380" s="27">
        <v>29.5</v>
      </c>
    </row>
    <row r="381" spans="1:19">
      <c r="A381" s="20">
        <v>800</v>
      </c>
      <c r="B381" s="20">
        <v>800</v>
      </c>
      <c r="C381" s="21">
        <v>0.33</v>
      </c>
      <c r="D381" s="20">
        <f t="shared" si="0"/>
        <v>200</v>
      </c>
      <c r="E381" s="20">
        <v>0</v>
      </c>
      <c r="F381" s="20">
        <v>0</v>
      </c>
      <c r="G381" s="24">
        <v>5.3</v>
      </c>
      <c r="H381" s="24">
        <v>3</v>
      </c>
      <c r="I381" s="23">
        <v>0</v>
      </c>
      <c r="J381" s="24">
        <v>2</v>
      </c>
      <c r="K381" s="25">
        <v>7</v>
      </c>
      <c r="L381" s="26">
        <v>2</v>
      </c>
      <c r="M381" s="23">
        <v>2.9</v>
      </c>
      <c r="N381" s="23">
        <v>116</v>
      </c>
      <c r="O381" s="23">
        <v>0.97</v>
      </c>
      <c r="P381" s="25">
        <v>300</v>
      </c>
      <c r="Q381" s="20">
        <v>40</v>
      </c>
      <c r="R381" s="20">
        <v>12</v>
      </c>
      <c r="S381" s="27">
        <v>28.5</v>
      </c>
    </row>
    <row r="382" spans="1:19">
      <c r="A382" s="20">
        <v>800</v>
      </c>
      <c r="B382" s="20">
        <v>800</v>
      </c>
      <c r="C382" s="21">
        <v>0.33</v>
      </c>
      <c r="D382" s="20">
        <f t="shared" si="0"/>
        <v>200</v>
      </c>
      <c r="E382" s="20">
        <v>0</v>
      </c>
      <c r="F382" s="20">
        <v>0</v>
      </c>
      <c r="G382" s="24">
        <v>5.3</v>
      </c>
      <c r="H382" s="24">
        <v>3</v>
      </c>
      <c r="I382" s="23">
        <v>0</v>
      </c>
      <c r="J382" s="24">
        <v>2</v>
      </c>
      <c r="K382" s="25">
        <v>7</v>
      </c>
      <c r="L382" s="26">
        <v>3</v>
      </c>
      <c r="M382" s="23">
        <v>2.9</v>
      </c>
      <c r="N382" s="23">
        <v>116</v>
      </c>
      <c r="O382" s="23">
        <v>0.97</v>
      </c>
      <c r="P382" s="25">
        <v>300</v>
      </c>
      <c r="Q382" s="20">
        <v>40</v>
      </c>
      <c r="R382" s="20">
        <v>12</v>
      </c>
      <c r="S382" s="27">
        <v>29.7</v>
      </c>
    </row>
    <row r="383" spans="1:19">
      <c r="A383" s="20">
        <v>800</v>
      </c>
      <c r="B383" s="20">
        <v>800</v>
      </c>
      <c r="C383" s="21">
        <v>0.33</v>
      </c>
      <c r="D383" s="20">
        <f t="shared" si="0"/>
        <v>200</v>
      </c>
      <c r="E383" s="20">
        <v>0</v>
      </c>
      <c r="F383" s="20">
        <v>0</v>
      </c>
      <c r="G383" s="24">
        <v>5.3</v>
      </c>
      <c r="H383" s="24">
        <v>3</v>
      </c>
      <c r="I383" s="23">
        <v>0</v>
      </c>
      <c r="J383" s="24">
        <v>2</v>
      </c>
      <c r="K383" s="25">
        <v>7</v>
      </c>
      <c r="L383" s="26">
        <v>1</v>
      </c>
      <c r="M383" s="23">
        <v>2.9</v>
      </c>
      <c r="N383" s="23">
        <v>116</v>
      </c>
      <c r="O383" s="23">
        <v>0.97</v>
      </c>
      <c r="P383" s="25">
        <v>300</v>
      </c>
      <c r="Q383" s="20">
        <v>40</v>
      </c>
      <c r="R383" s="20">
        <v>12</v>
      </c>
      <c r="S383" s="27">
        <v>31</v>
      </c>
    </row>
    <row r="384" spans="1:19">
      <c r="A384" s="20">
        <v>700</v>
      </c>
      <c r="B384" s="20">
        <v>800</v>
      </c>
      <c r="C384" s="21">
        <v>0.33</v>
      </c>
      <c r="D384" s="20">
        <f t="shared" si="0"/>
        <v>200</v>
      </c>
      <c r="E384" s="20">
        <v>0</v>
      </c>
      <c r="F384" s="20">
        <v>0</v>
      </c>
      <c r="G384" s="20">
        <v>4</v>
      </c>
      <c r="H384" s="24">
        <v>3</v>
      </c>
      <c r="I384" s="23">
        <v>0</v>
      </c>
      <c r="J384" s="24">
        <v>2</v>
      </c>
      <c r="K384" s="25">
        <v>7</v>
      </c>
      <c r="L384" s="26">
        <v>2</v>
      </c>
      <c r="M384" s="23">
        <v>2.9</v>
      </c>
      <c r="N384" s="23">
        <v>116</v>
      </c>
      <c r="O384" s="23">
        <v>0.97</v>
      </c>
      <c r="P384" s="25">
        <v>300</v>
      </c>
      <c r="Q384" s="20">
        <v>40</v>
      </c>
      <c r="R384" s="20">
        <v>12</v>
      </c>
      <c r="S384" s="27">
        <v>32</v>
      </c>
    </row>
    <row r="385" spans="1:19">
      <c r="A385" s="20">
        <v>700</v>
      </c>
      <c r="B385" s="20">
        <v>800</v>
      </c>
      <c r="C385" s="21">
        <v>0.33</v>
      </c>
      <c r="D385" s="20">
        <f t="shared" si="0"/>
        <v>200</v>
      </c>
      <c r="E385" s="20">
        <v>0</v>
      </c>
      <c r="F385" s="20">
        <v>0</v>
      </c>
      <c r="G385" s="20">
        <v>4</v>
      </c>
      <c r="H385" s="24">
        <v>3</v>
      </c>
      <c r="I385" s="23">
        <v>0</v>
      </c>
      <c r="J385" s="24">
        <v>2</v>
      </c>
      <c r="K385" s="25">
        <v>7</v>
      </c>
      <c r="L385" s="26">
        <v>3</v>
      </c>
      <c r="M385" s="23">
        <v>2.9</v>
      </c>
      <c r="N385" s="23">
        <v>116</v>
      </c>
      <c r="O385" s="23">
        <v>0.97</v>
      </c>
      <c r="P385" s="25">
        <v>300</v>
      </c>
      <c r="Q385" s="20">
        <v>40</v>
      </c>
      <c r="R385" s="20">
        <v>12</v>
      </c>
      <c r="S385" s="27">
        <v>32.4</v>
      </c>
    </row>
    <row r="386" spans="1:19">
      <c r="A386" s="20">
        <v>700</v>
      </c>
      <c r="B386" s="20">
        <v>800</v>
      </c>
      <c r="C386" s="21">
        <v>0.33</v>
      </c>
      <c r="D386" s="20">
        <f t="shared" si="0"/>
        <v>200</v>
      </c>
      <c r="E386" s="20">
        <v>0</v>
      </c>
      <c r="F386" s="20">
        <v>0</v>
      </c>
      <c r="G386" s="20">
        <v>4</v>
      </c>
      <c r="H386" s="24">
        <v>3</v>
      </c>
      <c r="I386" s="23">
        <v>0</v>
      </c>
      <c r="J386" s="24">
        <v>2</v>
      </c>
      <c r="K386" s="25">
        <v>7</v>
      </c>
      <c r="L386" s="26">
        <v>1</v>
      </c>
      <c r="M386" s="23">
        <v>2.9</v>
      </c>
      <c r="N386" s="23">
        <v>116</v>
      </c>
      <c r="O386" s="23">
        <v>0.97</v>
      </c>
      <c r="P386" s="25">
        <v>300</v>
      </c>
      <c r="Q386" s="20">
        <v>40</v>
      </c>
      <c r="R386" s="20">
        <v>12</v>
      </c>
      <c r="S386" s="27">
        <v>33</v>
      </c>
    </row>
    <row r="387" spans="1:19">
      <c r="A387" s="20">
        <v>600</v>
      </c>
      <c r="B387" s="20">
        <v>800</v>
      </c>
      <c r="C387" s="21">
        <v>0.33</v>
      </c>
      <c r="D387" s="20">
        <f t="shared" si="0"/>
        <v>200</v>
      </c>
      <c r="E387" s="20">
        <v>0</v>
      </c>
      <c r="F387" s="20">
        <v>0</v>
      </c>
      <c r="G387" s="24">
        <v>3.5</v>
      </c>
      <c r="H387" s="24">
        <v>3</v>
      </c>
      <c r="I387" s="23">
        <v>0</v>
      </c>
      <c r="J387" s="24">
        <v>2</v>
      </c>
      <c r="K387" s="25">
        <v>7</v>
      </c>
      <c r="L387" s="26">
        <v>2</v>
      </c>
      <c r="M387" s="23">
        <v>2.9</v>
      </c>
      <c r="N387" s="23">
        <v>116</v>
      </c>
      <c r="O387" s="23">
        <v>0.97</v>
      </c>
      <c r="P387" s="25">
        <v>300</v>
      </c>
      <c r="Q387" s="20">
        <v>40</v>
      </c>
      <c r="R387" s="20">
        <v>12</v>
      </c>
      <c r="S387" s="27">
        <v>24.7</v>
      </c>
    </row>
    <row r="388" spans="1:19">
      <c r="A388" s="20">
        <v>600</v>
      </c>
      <c r="B388" s="20">
        <v>800</v>
      </c>
      <c r="C388" s="21">
        <v>0.33</v>
      </c>
      <c r="D388" s="20">
        <f t="shared" si="0"/>
        <v>200</v>
      </c>
      <c r="E388" s="20">
        <v>0</v>
      </c>
      <c r="F388" s="20">
        <v>0</v>
      </c>
      <c r="G388" s="24">
        <v>3.5</v>
      </c>
      <c r="H388" s="24">
        <v>3</v>
      </c>
      <c r="I388" s="23">
        <v>0</v>
      </c>
      <c r="J388" s="24">
        <v>2</v>
      </c>
      <c r="K388" s="25">
        <v>7</v>
      </c>
      <c r="L388" s="26">
        <v>3</v>
      </c>
      <c r="M388" s="23">
        <v>2.9</v>
      </c>
      <c r="N388" s="23">
        <v>116</v>
      </c>
      <c r="O388" s="23">
        <v>0.97</v>
      </c>
      <c r="P388" s="25">
        <v>300</v>
      </c>
      <c r="Q388" s="20">
        <v>40</v>
      </c>
      <c r="R388" s="20">
        <v>12</v>
      </c>
      <c r="S388" s="27">
        <v>24.8</v>
      </c>
    </row>
    <row r="389" spans="1:19">
      <c r="A389" s="20">
        <v>600</v>
      </c>
      <c r="B389" s="20">
        <v>800</v>
      </c>
      <c r="C389" s="21">
        <v>0.33</v>
      </c>
      <c r="D389" s="20">
        <f t="shared" si="0"/>
        <v>200</v>
      </c>
      <c r="E389" s="20">
        <v>0</v>
      </c>
      <c r="F389" s="20">
        <v>0</v>
      </c>
      <c r="G389" s="24">
        <v>3.5</v>
      </c>
      <c r="H389" s="24">
        <v>3</v>
      </c>
      <c r="I389" s="23">
        <v>0</v>
      </c>
      <c r="J389" s="24">
        <v>2</v>
      </c>
      <c r="K389" s="25">
        <v>7</v>
      </c>
      <c r="L389" s="26">
        <v>1</v>
      </c>
      <c r="M389" s="23">
        <v>2.9</v>
      </c>
      <c r="N389" s="23">
        <v>116</v>
      </c>
      <c r="O389" s="23">
        <v>0.97</v>
      </c>
      <c r="P389" s="25">
        <v>300</v>
      </c>
      <c r="Q389" s="20">
        <v>40</v>
      </c>
      <c r="R389" s="20">
        <v>12</v>
      </c>
      <c r="S389" s="27">
        <v>24.9</v>
      </c>
    </row>
    <row r="390" spans="1:19">
      <c r="A390" s="20">
        <v>500</v>
      </c>
      <c r="B390" s="20">
        <v>800</v>
      </c>
      <c r="C390" s="21">
        <v>0.33</v>
      </c>
      <c r="D390" s="20">
        <f t="shared" si="0"/>
        <v>200</v>
      </c>
      <c r="E390" s="20">
        <v>0</v>
      </c>
      <c r="F390" s="20">
        <v>0</v>
      </c>
      <c r="G390" s="24">
        <v>3.2</v>
      </c>
      <c r="H390" s="24">
        <v>3</v>
      </c>
      <c r="I390" s="23">
        <v>0</v>
      </c>
      <c r="J390" s="24">
        <v>2</v>
      </c>
      <c r="K390" s="25">
        <v>7</v>
      </c>
      <c r="L390" s="26">
        <v>2</v>
      </c>
      <c r="M390" s="23">
        <v>2.9</v>
      </c>
      <c r="N390" s="23">
        <v>116</v>
      </c>
      <c r="O390" s="23">
        <v>0.97</v>
      </c>
      <c r="P390" s="25">
        <v>300</v>
      </c>
      <c r="Q390" s="20">
        <v>40</v>
      </c>
      <c r="R390" s="20">
        <v>12</v>
      </c>
      <c r="S390" s="27">
        <v>22.5</v>
      </c>
    </row>
    <row r="391" spans="1:19">
      <c r="A391" s="20">
        <v>500</v>
      </c>
      <c r="B391" s="20">
        <v>800</v>
      </c>
      <c r="C391" s="21">
        <v>0.33</v>
      </c>
      <c r="D391" s="20">
        <f t="shared" si="0"/>
        <v>200</v>
      </c>
      <c r="E391" s="20">
        <v>0</v>
      </c>
      <c r="F391" s="20">
        <v>0</v>
      </c>
      <c r="G391" s="24">
        <v>3.2</v>
      </c>
      <c r="H391" s="24">
        <v>3</v>
      </c>
      <c r="I391" s="23">
        <v>0</v>
      </c>
      <c r="J391" s="24">
        <v>2</v>
      </c>
      <c r="K391" s="25">
        <v>7</v>
      </c>
      <c r="L391" s="26">
        <v>3</v>
      </c>
      <c r="M391" s="23">
        <v>2.9</v>
      </c>
      <c r="N391" s="23">
        <v>116</v>
      </c>
      <c r="O391" s="23">
        <v>0.97</v>
      </c>
      <c r="P391" s="25">
        <v>300</v>
      </c>
      <c r="Q391" s="20">
        <v>40</v>
      </c>
      <c r="R391" s="20">
        <v>12</v>
      </c>
      <c r="S391" s="27">
        <v>23.7</v>
      </c>
    </row>
    <row r="392" spans="1:19">
      <c r="A392" s="20">
        <v>500</v>
      </c>
      <c r="B392" s="20">
        <v>800</v>
      </c>
      <c r="C392" s="21">
        <v>0.33</v>
      </c>
      <c r="D392" s="20">
        <f t="shared" si="0"/>
        <v>200</v>
      </c>
      <c r="E392" s="20">
        <v>0</v>
      </c>
      <c r="F392" s="20">
        <v>0</v>
      </c>
      <c r="G392" s="24">
        <v>3.2</v>
      </c>
      <c r="H392" s="24">
        <v>3</v>
      </c>
      <c r="I392" s="23">
        <v>0</v>
      </c>
      <c r="J392" s="24">
        <v>2</v>
      </c>
      <c r="K392" s="25">
        <v>7</v>
      </c>
      <c r="L392" s="26">
        <v>1</v>
      </c>
      <c r="M392" s="23">
        <v>2.9</v>
      </c>
      <c r="N392" s="23">
        <v>116</v>
      </c>
      <c r="O392" s="23">
        <v>0.97</v>
      </c>
      <c r="P392" s="25">
        <v>300</v>
      </c>
      <c r="Q392" s="20">
        <v>40</v>
      </c>
      <c r="R392" s="20">
        <v>12</v>
      </c>
      <c r="S392" s="27">
        <v>27.2</v>
      </c>
    </row>
    <row r="393" spans="1:19">
      <c r="A393" s="20">
        <v>656</v>
      </c>
      <c r="B393" s="20">
        <v>604</v>
      </c>
      <c r="C393" s="21">
        <v>0.27</v>
      </c>
      <c r="D393" s="20">
        <v>118</v>
      </c>
      <c r="E393" s="20">
        <v>0</v>
      </c>
      <c r="F393" s="20">
        <v>246</v>
      </c>
      <c r="G393" s="20">
        <v>3</v>
      </c>
      <c r="H393" s="24">
        <v>0</v>
      </c>
      <c r="I393" s="23">
        <v>0</v>
      </c>
      <c r="J393" s="24">
        <v>1</v>
      </c>
      <c r="K393" s="25">
        <v>28</v>
      </c>
      <c r="L393" s="26">
        <v>2</v>
      </c>
      <c r="M393" s="23">
        <v>2.4</v>
      </c>
      <c r="N393" s="23">
        <v>200</v>
      </c>
      <c r="O393" s="23">
        <v>0.785</v>
      </c>
      <c r="P393" s="25">
        <v>480</v>
      </c>
      <c r="Q393" s="20">
        <v>25</v>
      </c>
      <c r="R393" s="20">
        <v>12</v>
      </c>
      <c r="S393" s="27">
        <v>53.4</v>
      </c>
    </row>
    <row r="394" spans="1:19">
      <c r="A394" s="20">
        <v>656</v>
      </c>
      <c r="B394" s="20">
        <v>604</v>
      </c>
      <c r="C394" s="21">
        <v>0.27</v>
      </c>
      <c r="D394" s="20">
        <v>118</v>
      </c>
      <c r="E394" s="20">
        <v>0</v>
      </c>
      <c r="F394" s="20">
        <v>246</v>
      </c>
      <c r="G394" s="20">
        <v>3</v>
      </c>
      <c r="H394" s="24">
        <v>0</v>
      </c>
      <c r="I394" s="23">
        <v>0</v>
      </c>
      <c r="J394" s="24">
        <v>1</v>
      </c>
      <c r="K394" s="25">
        <v>28</v>
      </c>
      <c r="L394" s="26">
        <v>3</v>
      </c>
      <c r="M394" s="23">
        <v>2.4</v>
      </c>
      <c r="N394" s="23">
        <v>200</v>
      </c>
      <c r="O394" s="23">
        <v>0.785</v>
      </c>
      <c r="P394" s="25">
        <v>480</v>
      </c>
      <c r="Q394" s="20">
        <v>25</v>
      </c>
      <c r="R394" s="20">
        <v>12</v>
      </c>
      <c r="S394" s="27">
        <v>37.8</v>
      </c>
    </row>
    <row r="395" spans="1:19">
      <c r="A395" s="20">
        <v>656</v>
      </c>
      <c r="B395" s="20">
        <v>604</v>
      </c>
      <c r="C395" s="21">
        <v>0.27</v>
      </c>
      <c r="D395" s="20">
        <v>118</v>
      </c>
      <c r="E395" s="20">
        <v>0</v>
      </c>
      <c r="F395" s="20">
        <v>246</v>
      </c>
      <c r="G395" s="20">
        <v>3</v>
      </c>
      <c r="H395" s="24">
        <v>0</v>
      </c>
      <c r="I395" s="23">
        <v>0</v>
      </c>
      <c r="J395" s="24">
        <v>1</v>
      </c>
      <c r="K395" s="25">
        <v>28</v>
      </c>
      <c r="L395" s="26">
        <v>1</v>
      </c>
      <c r="M395" s="23">
        <v>2.4</v>
      </c>
      <c r="N395" s="23">
        <v>200</v>
      </c>
      <c r="O395" s="23">
        <v>0.785</v>
      </c>
      <c r="P395" s="25">
        <v>480</v>
      </c>
      <c r="Q395" s="20">
        <v>25</v>
      </c>
      <c r="R395" s="20">
        <v>12</v>
      </c>
      <c r="S395" s="27">
        <v>39.8</v>
      </c>
    </row>
    <row r="396" spans="1:19">
      <c r="A396" s="20">
        <v>656</v>
      </c>
      <c r="B396" s="20">
        <v>604</v>
      </c>
      <c r="C396" s="21">
        <v>0.27</v>
      </c>
      <c r="D396" s="20">
        <v>118</v>
      </c>
      <c r="E396" s="20">
        <v>0</v>
      </c>
      <c r="F396" s="20">
        <v>246</v>
      </c>
      <c r="G396" s="20">
        <v>3</v>
      </c>
      <c r="H396" s="24">
        <v>0</v>
      </c>
      <c r="I396" s="23">
        <v>0</v>
      </c>
      <c r="J396" s="24">
        <v>1.5</v>
      </c>
      <c r="K396" s="25">
        <v>28</v>
      </c>
      <c r="L396" s="26">
        <v>2</v>
      </c>
      <c r="M396" s="23">
        <v>2.4</v>
      </c>
      <c r="N396" s="23">
        <v>200</v>
      </c>
      <c r="O396" s="23">
        <v>0.785</v>
      </c>
      <c r="P396" s="25">
        <v>480</v>
      </c>
      <c r="Q396" s="20">
        <v>25</v>
      </c>
      <c r="R396" s="20">
        <v>12</v>
      </c>
      <c r="S396" s="27">
        <v>42.7</v>
      </c>
    </row>
    <row r="397" spans="1:19">
      <c r="A397" s="20">
        <v>656</v>
      </c>
      <c r="B397" s="20">
        <v>604</v>
      </c>
      <c r="C397" s="21">
        <v>0.27</v>
      </c>
      <c r="D397" s="20">
        <v>118</v>
      </c>
      <c r="E397" s="20">
        <v>0</v>
      </c>
      <c r="F397" s="20">
        <v>246</v>
      </c>
      <c r="G397" s="20">
        <v>3</v>
      </c>
      <c r="H397" s="24">
        <v>0</v>
      </c>
      <c r="I397" s="23">
        <v>0</v>
      </c>
      <c r="J397" s="24">
        <v>1.5</v>
      </c>
      <c r="K397" s="25">
        <v>28</v>
      </c>
      <c r="L397" s="26">
        <v>3</v>
      </c>
      <c r="M397" s="23">
        <v>2.4</v>
      </c>
      <c r="N397" s="23">
        <v>200</v>
      </c>
      <c r="O397" s="23">
        <v>0.785</v>
      </c>
      <c r="P397" s="25">
        <v>480</v>
      </c>
      <c r="Q397" s="20">
        <v>25</v>
      </c>
      <c r="R397" s="20">
        <v>12</v>
      </c>
      <c r="S397" s="27">
        <v>36.7</v>
      </c>
    </row>
    <row r="398" spans="1:19">
      <c r="A398" s="20">
        <v>656</v>
      </c>
      <c r="B398" s="20">
        <v>604</v>
      </c>
      <c r="C398" s="21">
        <v>0.27</v>
      </c>
      <c r="D398" s="20">
        <v>118</v>
      </c>
      <c r="E398" s="20">
        <v>0</v>
      </c>
      <c r="F398" s="20">
        <v>246</v>
      </c>
      <c r="G398" s="20">
        <v>3</v>
      </c>
      <c r="H398" s="24">
        <v>0</v>
      </c>
      <c r="I398" s="23">
        <v>0</v>
      </c>
      <c r="J398" s="24">
        <v>1.5</v>
      </c>
      <c r="K398" s="25">
        <v>28</v>
      </c>
      <c r="L398" s="26">
        <v>1</v>
      </c>
      <c r="M398" s="23">
        <v>2.4</v>
      </c>
      <c r="N398" s="23">
        <v>200</v>
      </c>
      <c r="O398" s="23">
        <v>0.785</v>
      </c>
      <c r="P398" s="25">
        <v>480</v>
      </c>
      <c r="Q398" s="20">
        <v>25</v>
      </c>
      <c r="R398" s="20">
        <v>12</v>
      </c>
      <c r="S398" s="27">
        <v>44.6</v>
      </c>
    </row>
    <row r="399" spans="1:19">
      <c r="A399" s="20">
        <v>656</v>
      </c>
      <c r="B399" s="20">
        <v>604</v>
      </c>
      <c r="C399" s="21">
        <v>0.27</v>
      </c>
      <c r="D399" s="20">
        <v>118</v>
      </c>
      <c r="E399" s="20">
        <v>0</v>
      </c>
      <c r="F399" s="20">
        <v>246</v>
      </c>
      <c r="G399" s="20">
        <v>3</v>
      </c>
      <c r="H399" s="24">
        <v>0</v>
      </c>
      <c r="I399" s="23">
        <v>0</v>
      </c>
      <c r="J399" s="24">
        <v>2</v>
      </c>
      <c r="K399" s="25">
        <v>28</v>
      </c>
      <c r="L399" s="26">
        <v>2</v>
      </c>
      <c r="M399" s="23">
        <v>2.4</v>
      </c>
      <c r="N399" s="23">
        <v>200</v>
      </c>
      <c r="O399" s="23">
        <v>0.785</v>
      </c>
      <c r="P399" s="25">
        <v>480</v>
      </c>
      <c r="Q399" s="20">
        <v>25</v>
      </c>
      <c r="R399" s="20">
        <v>12</v>
      </c>
      <c r="S399" s="27">
        <v>43.6</v>
      </c>
    </row>
    <row r="400" spans="1:19">
      <c r="A400" s="20">
        <v>656</v>
      </c>
      <c r="B400" s="20">
        <v>604</v>
      </c>
      <c r="C400" s="21">
        <v>0.27</v>
      </c>
      <c r="D400" s="20">
        <v>118</v>
      </c>
      <c r="E400" s="20">
        <v>0</v>
      </c>
      <c r="F400" s="20">
        <v>246</v>
      </c>
      <c r="G400" s="20">
        <v>3</v>
      </c>
      <c r="H400" s="24">
        <v>0</v>
      </c>
      <c r="I400" s="23">
        <v>0</v>
      </c>
      <c r="J400" s="24">
        <v>2</v>
      </c>
      <c r="K400" s="25">
        <v>28</v>
      </c>
      <c r="L400" s="26">
        <v>3</v>
      </c>
      <c r="M400" s="23">
        <v>2.4</v>
      </c>
      <c r="N400" s="23">
        <v>200</v>
      </c>
      <c r="O400" s="23">
        <v>0.785</v>
      </c>
      <c r="P400" s="25">
        <v>480</v>
      </c>
      <c r="Q400" s="20">
        <v>25</v>
      </c>
      <c r="R400" s="20">
        <v>12</v>
      </c>
      <c r="S400" s="27">
        <v>39.6</v>
      </c>
    </row>
    <row r="401" spans="1:19">
      <c r="A401" s="20">
        <v>656</v>
      </c>
      <c r="B401" s="20">
        <v>604</v>
      </c>
      <c r="C401" s="21">
        <v>0.27</v>
      </c>
      <c r="D401" s="20">
        <v>118</v>
      </c>
      <c r="E401" s="20">
        <v>0</v>
      </c>
      <c r="F401" s="20">
        <v>246</v>
      </c>
      <c r="G401" s="20">
        <v>3</v>
      </c>
      <c r="H401" s="24">
        <v>0</v>
      </c>
      <c r="I401" s="23">
        <v>0</v>
      </c>
      <c r="J401" s="24">
        <v>2</v>
      </c>
      <c r="K401" s="25">
        <v>28</v>
      </c>
      <c r="L401" s="26">
        <v>1</v>
      </c>
      <c r="M401" s="23">
        <v>2.4</v>
      </c>
      <c r="N401" s="23">
        <v>200</v>
      </c>
      <c r="O401" s="23">
        <v>0.785</v>
      </c>
      <c r="P401" s="25">
        <v>480</v>
      </c>
      <c r="Q401" s="20">
        <v>25</v>
      </c>
      <c r="R401" s="20">
        <v>12</v>
      </c>
      <c r="S401" s="27">
        <v>47.3</v>
      </c>
    </row>
    <row r="402" spans="1:19">
      <c r="A402" s="20">
        <v>640</v>
      </c>
      <c r="B402" s="20">
        <v>424</v>
      </c>
      <c r="C402" s="21">
        <v>0.325189553496209</v>
      </c>
      <c r="D402" s="20">
        <v>214</v>
      </c>
      <c r="E402" s="20">
        <v>333</v>
      </c>
      <c r="F402" s="20">
        <v>0</v>
      </c>
      <c r="G402" s="24">
        <v>0.5</v>
      </c>
      <c r="H402" s="24">
        <v>0.5</v>
      </c>
      <c r="I402" s="23">
        <v>0</v>
      </c>
      <c r="J402" s="24">
        <v>1.5</v>
      </c>
      <c r="K402" s="25">
        <v>28</v>
      </c>
      <c r="L402" s="26">
        <v>1</v>
      </c>
      <c r="M402" s="23">
        <v>2.4</v>
      </c>
      <c r="N402" s="23">
        <v>200</v>
      </c>
      <c r="O402" s="23">
        <v>0.785</v>
      </c>
      <c r="P402" s="25">
        <v>500</v>
      </c>
      <c r="Q402" s="20">
        <v>24</v>
      </c>
      <c r="R402" s="20">
        <v>12</v>
      </c>
      <c r="S402" s="27">
        <v>34.88</v>
      </c>
    </row>
    <row r="403" spans="1:19">
      <c r="A403" s="20">
        <v>640</v>
      </c>
      <c r="B403" s="20">
        <f>339+68</f>
        <v>407</v>
      </c>
      <c r="C403" s="21">
        <v>0.325189553496209</v>
      </c>
      <c r="D403" s="20">
        <v>214</v>
      </c>
      <c r="E403" s="20">
        <v>333</v>
      </c>
      <c r="F403" s="20">
        <v>0</v>
      </c>
      <c r="G403" s="24">
        <v>0.5</v>
      </c>
      <c r="H403" s="24">
        <v>0.5</v>
      </c>
      <c r="I403" s="23">
        <v>0</v>
      </c>
      <c r="J403" s="24">
        <v>1.5</v>
      </c>
      <c r="K403" s="25">
        <v>28</v>
      </c>
      <c r="L403" s="26">
        <v>1</v>
      </c>
      <c r="M403" s="23">
        <v>2.4</v>
      </c>
      <c r="N403" s="23">
        <v>200</v>
      </c>
      <c r="O403" s="23">
        <v>0.785</v>
      </c>
      <c r="P403" s="25">
        <v>500</v>
      </c>
      <c r="Q403" s="20">
        <v>24</v>
      </c>
      <c r="R403" s="20">
        <v>12</v>
      </c>
      <c r="S403" s="27">
        <v>38.33</v>
      </c>
    </row>
    <row r="404" spans="1:19">
      <c r="A404" s="20">
        <v>640</v>
      </c>
      <c r="B404" s="20">
        <f>254+137</f>
        <v>391</v>
      </c>
      <c r="C404" s="21">
        <v>0.325189553496209</v>
      </c>
      <c r="D404" s="20">
        <v>214</v>
      </c>
      <c r="E404" s="20">
        <v>333</v>
      </c>
      <c r="F404" s="20">
        <v>0</v>
      </c>
      <c r="G404" s="24">
        <v>0.5</v>
      </c>
      <c r="H404" s="24">
        <v>0.5</v>
      </c>
      <c r="I404" s="23">
        <v>0</v>
      </c>
      <c r="J404" s="24">
        <v>1.5</v>
      </c>
      <c r="K404" s="25">
        <v>28</v>
      </c>
      <c r="L404" s="26">
        <v>1</v>
      </c>
      <c r="M404" s="23">
        <v>2.4</v>
      </c>
      <c r="N404" s="23">
        <v>200</v>
      </c>
      <c r="O404" s="23">
        <v>0.785</v>
      </c>
      <c r="P404" s="25">
        <v>500</v>
      </c>
      <c r="Q404" s="20">
        <v>24</v>
      </c>
      <c r="R404" s="20">
        <v>12</v>
      </c>
      <c r="S404" s="27">
        <v>38.61</v>
      </c>
    </row>
    <row r="405" spans="1:19">
      <c r="A405" s="20">
        <v>640</v>
      </c>
      <c r="B405" s="20">
        <f>169+205</f>
        <v>374</v>
      </c>
      <c r="C405" s="21">
        <v>0.325189553496209</v>
      </c>
      <c r="D405" s="20">
        <v>214</v>
      </c>
      <c r="E405" s="20">
        <v>333</v>
      </c>
      <c r="F405" s="20">
        <v>0</v>
      </c>
      <c r="G405" s="24">
        <v>0.5</v>
      </c>
      <c r="H405" s="24">
        <v>0.5</v>
      </c>
      <c r="I405" s="23">
        <v>0</v>
      </c>
      <c r="J405" s="24">
        <v>1.5</v>
      </c>
      <c r="K405" s="25">
        <v>28</v>
      </c>
      <c r="L405" s="26">
        <v>1</v>
      </c>
      <c r="M405" s="23">
        <v>2.4</v>
      </c>
      <c r="N405" s="23">
        <v>200</v>
      </c>
      <c r="O405" s="23">
        <v>0.785</v>
      </c>
      <c r="P405" s="25">
        <v>500</v>
      </c>
      <c r="Q405" s="20">
        <v>24</v>
      </c>
      <c r="R405" s="20">
        <v>12</v>
      </c>
      <c r="S405" s="27">
        <v>38.86</v>
      </c>
    </row>
    <row r="406" spans="1:19">
      <c r="A406" s="20">
        <v>640</v>
      </c>
      <c r="B406" s="20">
        <v>424</v>
      </c>
      <c r="C406" s="21">
        <v>0.325189553496209</v>
      </c>
      <c r="D406" s="20">
        <v>214</v>
      </c>
      <c r="E406" s="20">
        <v>333</v>
      </c>
      <c r="F406" s="20">
        <v>0</v>
      </c>
      <c r="G406" s="24">
        <v>0.5</v>
      </c>
      <c r="H406" s="24">
        <v>0.5</v>
      </c>
      <c r="I406" s="23">
        <v>0</v>
      </c>
      <c r="J406" s="24">
        <v>1.5</v>
      </c>
      <c r="K406" s="25">
        <v>28</v>
      </c>
      <c r="L406" s="26">
        <v>3</v>
      </c>
      <c r="M406" s="23">
        <v>2.4</v>
      </c>
      <c r="N406" s="23">
        <v>200</v>
      </c>
      <c r="O406" s="23">
        <v>0.785</v>
      </c>
      <c r="P406" s="25">
        <v>500</v>
      </c>
      <c r="Q406" s="20">
        <v>24</v>
      </c>
      <c r="R406" s="20">
        <v>12</v>
      </c>
      <c r="S406" s="27">
        <v>40.93</v>
      </c>
    </row>
    <row r="407" spans="1:19">
      <c r="A407" s="20">
        <v>640</v>
      </c>
      <c r="B407" s="20">
        <f>339+68</f>
        <v>407</v>
      </c>
      <c r="C407" s="21">
        <v>0.325189553496209</v>
      </c>
      <c r="D407" s="20">
        <v>214</v>
      </c>
      <c r="E407" s="20">
        <v>333</v>
      </c>
      <c r="F407" s="20">
        <v>0</v>
      </c>
      <c r="G407" s="24">
        <v>0.5</v>
      </c>
      <c r="H407" s="24">
        <v>0.5</v>
      </c>
      <c r="I407" s="23">
        <v>0</v>
      </c>
      <c r="J407" s="24">
        <v>1.5</v>
      </c>
      <c r="K407" s="25">
        <v>28</v>
      </c>
      <c r="L407" s="26">
        <v>3</v>
      </c>
      <c r="M407" s="23">
        <v>2.4</v>
      </c>
      <c r="N407" s="23">
        <v>200</v>
      </c>
      <c r="O407" s="23">
        <v>0.785</v>
      </c>
      <c r="P407" s="25">
        <v>500</v>
      </c>
      <c r="Q407" s="20">
        <v>24</v>
      </c>
      <c r="R407" s="20">
        <v>12</v>
      </c>
      <c r="S407" s="27">
        <v>50.47</v>
      </c>
    </row>
    <row r="408" spans="1:19">
      <c r="A408" s="20">
        <v>640</v>
      </c>
      <c r="B408" s="20">
        <f>254+137</f>
        <v>391</v>
      </c>
      <c r="C408" s="21">
        <v>0.325189553496209</v>
      </c>
      <c r="D408" s="20">
        <v>214</v>
      </c>
      <c r="E408" s="20">
        <v>333</v>
      </c>
      <c r="F408" s="20">
        <v>0</v>
      </c>
      <c r="G408" s="24">
        <v>0.5</v>
      </c>
      <c r="H408" s="24">
        <v>0.5</v>
      </c>
      <c r="I408" s="23">
        <v>0</v>
      </c>
      <c r="J408" s="24">
        <v>1.5</v>
      </c>
      <c r="K408" s="25">
        <v>28</v>
      </c>
      <c r="L408" s="26">
        <v>3</v>
      </c>
      <c r="M408" s="23">
        <v>2.4</v>
      </c>
      <c r="N408" s="23">
        <v>200</v>
      </c>
      <c r="O408" s="23">
        <v>0.785</v>
      </c>
      <c r="P408" s="25">
        <v>500</v>
      </c>
      <c r="Q408" s="20">
        <v>24</v>
      </c>
      <c r="R408" s="20">
        <v>12</v>
      </c>
      <c r="S408" s="27">
        <v>48.28</v>
      </c>
    </row>
    <row r="409" spans="1:19">
      <c r="A409" s="20">
        <v>640</v>
      </c>
      <c r="B409" s="20">
        <f>169+205</f>
        <v>374</v>
      </c>
      <c r="C409" s="21">
        <v>0.325189553496209</v>
      </c>
      <c r="D409" s="20">
        <v>214</v>
      </c>
      <c r="E409" s="20">
        <v>333</v>
      </c>
      <c r="F409" s="20">
        <v>0</v>
      </c>
      <c r="G409" s="24">
        <v>0.5</v>
      </c>
      <c r="H409" s="24">
        <v>0.5</v>
      </c>
      <c r="I409" s="23">
        <v>0</v>
      </c>
      <c r="J409" s="24">
        <v>1.5</v>
      </c>
      <c r="K409" s="25">
        <v>28</v>
      </c>
      <c r="L409" s="26">
        <v>3</v>
      </c>
      <c r="M409" s="23">
        <v>2.4</v>
      </c>
      <c r="N409" s="23">
        <v>200</v>
      </c>
      <c r="O409" s="23">
        <v>0.785</v>
      </c>
      <c r="P409" s="25">
        <v>500</v>
      </c>
      <c r="Q409" s="20">
        <v>24</v>
      </c>
      <c r="R409" s="20">
        <v>12</v>
      </c>
      <c r="S409" s="27">
        <v>49.71</v>
      </c>
    </row>
    <row r="410" spans="1:19">
      <c r="A410" s="24">
        <f t="shared" ref="A410:A412" si="1">730.41+87.65</f>
        <v>818.06</v>
      </c>
      <c r="B410" s="22">
        <v>701.19</v>
      </c>
      <c r="C410" s="21">
        <v>0.219995550459501</v>
      </c>
      <c r="D410" s="22">
        <v>233.73</v>
      </c>
      <c r="E410" s="20">
        <v>0</v>
      </c>
      <c r="F410" s="22">
        <v>116.87</v>
      </c>
      <c r="G410" s="24">
        <v>23.4</v>
      </c>
      <c r="H410" s="22">
        <v>3.51</v>
      </c>
      <c r="I410" s="23">
        <v>0</v>
      </c>
      <c r="J410" s="24">
        <v>2</v>
      </c>
      <c r="K410" s="25">
        <v>28</v>
      </c>
      <c r="L410" s="26">
        <v>2</v>
      </c>
      <c r="M410" s="23">
        <v>2.9</v>
      </c>
      <c r="N410" s="23">
        <v>116</v>
      </c>
      <c r="O410" s="23">
        <v>0.97</v>
      </c>
      <c r="P410" s="25">
        <v>300</v>
      </c>
      <c r="Q410" s="20">
        <v>40</v>
      </c>
      <c r="R410" s="20">
        <v>12</v>
      </c>
      <c r="S410" s="27">
        <v>56.23497</v>
      </c>
    </row>
    <row r="411" spans="1:19">
      <c r="A411" s="24">
        <f t="shared" si="1"/>
        <v>818.06</v>
      </c>
      <c r="B411" s="22">
        <v>701.19</v>
      </c>
      <c r="C411" s="21">
        <v>0.219995550459501</v>
      </c>
      <c r="D411" s="22">
        <v>233.73</v>
      </c>
      <c r="E411" s="20">
        <v>0</v>
      </c>
      <c r="F411" s="22">
        <v>116.87</v>
      </c>
      <c r="G411" s="24">
        <v>23.4</v>
      </c>
      <c r="H411" s="22">
        <v>3.51</v>
      </c>
      <c r="I411" s="23">
        <v>0</v>
      </c>
      <c r="J411" s="24">
        <v>2</v>
      </c>
      <c r="K411" s="25">
        <v>28</v>
      </c>
      <c r="L411" s="26">
        <v>3</v>
      </c>
      <c r="M411" s="23">
        <v>2.9</v>
      </c>
      <c r="N411" s="23">
        <v>116</v>
      </c>
      <c r="O411" s="23">
        <v>0.97</v>
      </c>
      <c r="P411" s="25">
        <v>300</v>
      </c>
      <c r="Q411" s="20">
        <v>40</v>
      </c>
      <c r="R411" s="20">
        <v>12</v>
      </c>
      <c r="S411" s="27">
        <v>47.42936</v>
      </c>
    </row>
    <row r="412" spans="1:19">
      <c r="A412" s="24">
        <f t="shared" si="1"/>
        <v>818.06</v>
      </c>
      <c r="B412" s="22">
        <v>701.19</v>
      </c>
      <c r="C412" s="21">
        <v>0.219995550459501</v>
      </c>
      <c r="D412" s="22">
        <v>233.73</v>
      </c>
      <c r="E412" s="20">
        <v>0</v>
      </c>
      <c r="F412" s="22">
        <v>116.87</v>
      </c>
      <c r="G412" s="24">
        <v>23.4</v>
      </c>
      <c r="H412" s="22">
        <v>3.51</v>
      </c>
      <c r="I412" s="23">
        <v>0</v>
      </c>
      <c r="J412" s="24">
        <v>2</v>
      </c>
      <c r="K412" s="25">
        <v>28</v>
      </c>
      <c r="L412" s="26">
        <v>1</v>
      </c>
      <c r="M412" s="23">
        <v>2.9</v>
      </c>
      <c r="N412" s="23">
        <v>116</v>
      </c>
      <c r="O412" s="23">
        <v>0.97</v>
      </c>
      <c r="P412" s="25">
        <v>300</v>
      </c>
      <c r="Q412" s="20">
        <v>40</v>
      </c>
      <c r="R412" s="20">
        <v>12</v>
      </c>
      <c r="S412" s="27">
        <v>50.0275</v>
      </c>
    </row>
    <row r="413" spans="1:19">
      <c r="A413" s="24">
        <f t="shared" ref="A413:A418" si="2">584.32+87.65</f>
        <v>671.97</v>
      </c>
      <c r="B413" s="22">
        <v>701.19</v>
      </c>
      <c r="C413" s="21">
        <v>0.22563715509373</v>
      </c>
      <c r="D413" s="24">
        <v>350.6</v>
      </c>
      <c r="E413" s="20">
        <v>0</v>
      </c>
      <c r="F413" s="22">
        <v>116.87</v>
      </c>
      <c r="G413" s="24">
        <v>23.4</v>
      </c>
      <c r="H413" s="22">
        <v>3.51</v>
      </c>
      <c r="I413" s="23">
        <v>0</v>
      </c>
      <c r="J413" s="24">
        <v>2</v>
      </c>
      <c r="K413" s="25">
        <v>28</v>
      </c>
      <c r="L413" s="26">
        <v>2</v>
      </c>
      <c r="M413" s="23">
        <v>2.9</v>
      </c>
      <c r="N413" s="23">
        <v>116</v>
      </c>
      <c r="O413" s="23">
        <v>0.97</v>
      </c>
      <c r="P413" s="25">
        <v>300</v>
      </c>
      <c r="Q413" s="20">
        <v>40</v>
      </c>
      <c r="R413" s="20">
        <v>12</v>
      </c>
      <c r="S413" s="27">
        <v>48.75057</v>
      </c>
    </row>
    <row r="414" spans="1:19">
      <c r="A414" s="24">
        <f t="shared" si="2"/>
        <v>671.97</v>
      </c>
      <c r="B414" s="22">
        <v>701.19</v>
      </c>
      <c r="C414" s="21">
        <v>0.22563715509373</v>
      </c>
      <c r="D414" s="24">
        <v>350.6</v>
      </c>
      <c r="E414" s="20">
        <v>0</v>
      </c>
      <c r="F414" s="22">
        <v>116.87</v>
      </c>
      <c r="G414" s="24">
        <v>23.4</v>
      </c>
      <c r="H414" s="22">
        <v>3.51</v>
      </c>
      <c r="I414" s="23">
        <v>0</v>
      </c>
      <c r="J414" s="24">
        <v>2</v>
      </c>
      <c r="K414" s="25">
        <v>28</v>
      </c>
      <c r="L414" s="26">
        <v>3</v>
      </c>
      <c r="M414" s="23">
        <v>2.9</v>
      </c>
      <c r="N414" s="23">
        <v>116</v>
      </c>
      <c r="O414" s="23">
        <v>0.97</v>
      </c>
      <c r="P414" s="25">
        <v>300</v>
      </c>
      <c r="Q414" s="20">
        <v>40</v>
      </c>
      <c r="R414" s="20">
        <v>12</v>
      </c>
      <c r="S414" s="27">
        <v>45.03789</v>
      </c>
    </row>
    <row r="415" spans="1:19">
      <c r="A415" s="24">
        <f t="shared" si="2"/>
        <v>671.97</v>
      </c>
      <c r="B415" s="22">
        <v>701.19</v>
      </c>
      <c r="C415" s="21">
        <v>0.22563715509373</v>
      </c>
      <c r="D415" s="24">
        <v>350.6</v>
      </c>
      <c r="E415" s="20">
        <v>0</v>
      </c>
      <c r="F415" s="22">
        <v>116.87</v>
      </c>
      <c r="G415" s="24">
        <v>23.4</v>
      </c>
      <c r="H415" s="22">
        <v>3.51</v>
      </c>
      <c r="I415" s="23">
        <v>0</v>
      </c>
      <c r="J415" s="24">
        <v>2</v>
      </c>
      <c r="K415" s="25">
        <v>28</v>
      </c>
      <c r="L415" s="26">
        <v>1</v>
      </c>
      <c r="M415" s="23">
        <v>2.9</v>
      </c>
      <c r="N415" s="23">
        <v>116</v>
      </c>
      <c r="O415" s="23">
        <v>0.97</v>
      </c>
      <c r="P415" s="25">
        <v>300</v>
      </c>
      <c r="Q415" s="20">
        <v>40</v>
      </c>
      <c r="R415" s="20">
        <v>12</v>
      </c>
      <c r="S415" s="27">
        <v>40.52806</v>
      </c>
    </row>
    <row r="416" spans="1:19">
      <c r="A416" s="24">
        <f t="shared" si="2"/>
        <v>671.97</v>
      </c>
      <c r="B416" s="22">
        <v>701.19</v>
      </c>
      <c r="C416" s="21">
        <v>0.22563715509373</v>
      </c>
      <c r="D416" s="24">
        <v>350.6</v>
      </c>
      <c r="E416" s="20">
        <v>0</v>
      </c>
      <c r="F416" s="22">
        <v>116.87</v>
      </c>
      <c r="G416" s="24">
        <v>23.4</v>
      </c>
      <c r="H416" s="22">
        <v>4.09</v>
      </c>
      <c r="I416" s="23">
        <v>0</v>
      </c>
      <c r="J416" s="24">
        <v>2</v>
      </c>
      <c r="K416" s="25">
        <v>28</v>
      </c>
      <c r="L416" s="26">
        <v>2</v>
      </c>
      <c r="M416" s="23">
        <v>2.9</v>
      </c>
      <c r="N416" s="23">
        <v>116</v>
      </c>
      <c r="O416" s="23">
        <v>0.97</v>
      </c>
      <c r="P416" s="25">
        <v>300</v>
      </c>
      <c r="Q416" s="20">
        <v>40</v>
      </c>
      <c r="R416" s="20">
        <v>12</v>
      </c>
      <c r="S416" s="27">
        <v>47.79841</v>
      </c>
    </row>
    <row r="417" spans="1:19">
      <c r="A417" s="24">
        <f t="shared" si="2"/>
        <v>671.97</v>
      </c>
      <c r="B417" s="22">
        <v>701.19</v>
      </c>
      <c r="C417" s="21">
        <v>0.22563715509373</v>
      </c>
      <c r="D417" s="24">
        <v>350.6</v>
      </c>
      <c r="E417" s="20">
        <v>0</v>
      </c>
      <c r="F417" s="22">
        <v>116.87</v>
      </c>
      <c r="G417" s="24">
        <v>23.4</v>
      </c>
      <c r="H417" s="22">
        <v>4.09</v>
      </c>
      <c r="I417" s="23">
        <v>0</v>
      </c>
      <c r="J417" s="24">
        <v>2</v>
      </c>
      <c r="K417" s="25">
        <v>28</v>
      </c>
      <c r="L417" s="26">
        <v>3</v>
      </c>
      <c r="M417" s="23">
        <v>2.9</v>
      </c>
      <c r="N417" s="23">
        <v>116</v>
      </c>
      <c r="O417" s="23">
        <v>0.97</v>
      </c>
      <c r="P417" s="25">
        <v>300</v>
      </c>
      <c r="Q417" s="20">
        <v>40</v>
      </c>
      <c r="R417" s="20">
        <v>12</v>
      </c>
      <c r="S417" s="27">
        <v>46.10077</v>
      </c>
    </row>
    <row r="418" spans="1:19">
      <c r="A418" s="24">
        <f t="shared" si="2"/>
        <v>671.97</v>
      </c>
      <c r="B418" s="22">
        <v>701.19</v>
      </c>
      <c r="C418" s="21">
        <v>0.22563715509373</v>
      </c>
      <c r="D418" s="24">
        <v>350.6</v>
      </c>
      <c r="E418" s="20">
        <v>0</v>
      </c>
      <c r="F418" s="22">
        <v>116.87</v>
      </c>
      <c r="G418" s="24">
        <v>23.4</v>
      </c>
      <c r="H418" s="22">
        <v>4.09</v>
      </c>
      <c r="I418" s="23">
        <v>0</v>
      </c>
      <c r="J418" s="24">
        <v>2</v>
      </c>
      <c r="K418" s="25">
        <v>28</v>
      </c>
      <c r="L418" s="26">
        <v>1</v>
      </c>
      <c r="M418" s="23">
        <v>2.9</v>
      </c>
      <c r="N418" s="23">
        <v>116</v>
      </c>
      <c r="O418" s="23">
        <v>0.97</v>
      </c>
      <c r="P418" s="25">
        <v>300</v>
      </c>
      <c r="Q418" s="20">
        <v>40</v>
      </c>
      <c r="R418" s="20">
        <v>12</v>
      </c>
      <c r="S418" s="27">
        <v>49.49606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19"/>
  <sheetViews>
    <sheetView zoomScale="181" zoomScaleNormal="181" topLeftCell="AN48" workbookViewId="0">
      <selection activeCell="AW67" sqref="AW67"/>
    </sheetView>
  </sheetViews>
  <sheetFormatPr defaultColWidth="8.66666666666667" defaultRowHeight="13.8"/>
  <cols>
    <col min="1" max="1" width="13.3333333333333" style="1" customWidth="1"/>
    <col min="9" max="9" width="10.3333333333333" style="1" customWidth="1"/>
    <col min="16" max="16" width="8.91666666666667" style="1" customWidth="1"/>
    <col min="24" max="24" width="8.91666666666667" style="1" customWidth="1"/>
    <col min="36" max="38" width="8.91666666666667" style="1" customWidth="1"/>
    <col min="39" max="40" width="13.3333333333333" style="1" customWidth="1"/>
    <col min="41" max="42" width="7.41666666666667" style="1" customWidth="1"/>
    <col min="43" max="43" width="8" style="1" customWidth="1"/>
  </cols>
  <sheetData>
    <row r="1" ht="47.55" spans="1:46">
      <c r="A1" s="2"/>
      <c r="I1" s="2"/>
      <c r="P1" s="3" t="s">
        <v>12</v>
      </c>
      <c r="X1" s="3" t="s">
        <v>13</v>
      </c>
      <c r="AJ1" s="3" t="s">
        <v>14</v>
      </c>
      <c r="AK1" s="3"/>
      <c r="AL1" s="3"/>
      <c r="AM1" s="3"/>
      <c r="AN1" s="3"/>
      <c r="AO1" s="3"/>
      <c r="AP1" s="3"/>
      <c r="AQ1" s="2"/>
      <c r="AR1" s="2"/>
      <c r="AS1" s="4"/>
    </row>
    <row r="2" ht="15.15" spans="1:46">
      <c r="A2" s="2" t="s">
        <v>2</v>
      </c>
      <c r="B2" t="s">
        <v>19</v>
      </c>
      <c r="I2" s="5" t="s">
        <v>20</v>
      </c>
      <c r="P2" s="6" t="s">
        <v>21</v>
      </c>
      <c r="X2" s="6" t="s">
        <v>22</v>
      </c>
      <c r="AJ2" s="6" t="s">
        <v>23</v>
      </c>
      <c r="AK2" s="6"/>
      <c r="AL2" s="6"/>
      <c r="AM2" s="2" t="s">
        <v>15</v>
      </c>
      <c r="AN2" s="2"/>
      <c r="AO2" s="2" t="s">
        <v>17</v>
      </c>
      <c r="AP2" s="2"/>
      <c r="AQ2" s="7" t="s">
        <v>24</v>
      </c>
      <c r="AS2" s="8" t="s">
        <v>25</v>
      </c>
      <c r="AT2" s="8" t="s">
        <v>26</v>
      </c>
    </row>
    <row r="3" spans="1:46">
      <c r="A3" s="1">
        <v>0.263616558</v>
      </c>
      <c r="B3">
        <v>0.1</v>
      </c>
      <c r="C3" s="8" t="s">
        <v>25</v>
      </c>
      <c r="D3" s="8" t="s">
        <v>26</v>
      </c>
      <c r="I3" s="1">
        <v>28</v>
      </c>
      <c r="J3">
        <v>1</v>
      </c>
      <c r="K3" s="8" t="s">
        <v>25</v>
      </c>
      <c r="L3" s="8" t="s">
        <v>26</v>
      </c>
      <c r="P3" s="1">
        <v>2.9</v>
      </c>
      <c r="Q3">
        <v>0</v>
      </c>
      <c r="R3" s="8" t="s">
        <v>25</v>
      </c>
      <c r="S3" s="8" t="s">
        <v>26</v>
      </c>
      <c r="X3" s="1">
        <v>116</v>
      </c>
      <c r="Y3">
        <v>40</v>
      </c>
      <c r="AJ3" s="1">
        <v>0.97</v>
      </c>
      <c r="AK3" s="1">
        <v>0.8</v>
      </c>
      <c r="AM3" s="1">
        <v>480</v>
      </c>
      <c r="AN3" s="1">
        <v>100</v>
      </c>
      <c r="AO3" s="1">
        <v>12</v>
      </c>
      <c r="AP3" s="1">
        <v>3</v>
      </c>
      <c r="AQ3" s="1">
        <v>669.94764</v>
      </c>
      <c r="AR3" s="1">
        <v>300</v>
      </c>
      <c r="AS3" s="9">
        <v>0.8</v>
      </c>
      <c r="AT3" s="10">
        <v>158</v>
      </c>
    </row>
    <row r="4" spans="1:46">
      <c r="A4" s="1">
        <v>0.263616558</v>
      </c>
      <c r="B4">
        <v>0.16</v>
      </c>
      <c r="C4" s="9">
        <v>0.1</v>
      </c>
      <c r="D4" s="10">
        <v>0</v>
      </c>
      <c r="I4" s="1">
        <v>28</v>
      </c>
      <c r="J4">
        <v>3</v>
      </c>
      <c r="K4" s="9">
        <v>1</v>
      </c>
      <c r="L4" s="10">
        <v>12</v>
      </c>
      <c r="P4" s="1">
        <v>2.9</v>
      </c>
      <c r="Q4">
        <v>0.5</v>
      </c>
      <c r="R4" s="9">
        <v>0</v>
      </c>
      <c r="S4" s="10">
        <v>0</v>
      </c>
      <c r="X4" s="1">
        <v>116</v>
      </c>
      <c r="Y4">
        <v>80</v>
      </c>
      <c r="AJ4" s="1">
        <v>0.97</v>
      </c>
      <c r="AK4" s="1">
        <v>1.2</v>
      </c>
      <c r="AM4" s="1">
        <v>480</v>
      </c>
      <c r="AN4" s="1">
        <v>200</v>
      </c>
      <c r="AO4" s="1">
        <v>12</v>
      </c>
      <c r="AP4" s="1">
        <v>6</v>
      </c>
      <c r="AQ4" s="1">
        <v>669.94764</v>
      </c>
      <c r="AR4" s="1">
        <v>400</v>
      </c>
      <c r="AS4" s="9">
        <v>1.2</v>
      </c>
      <c r="AT4" s="10">
        <v>177</v>
      </c>
    </row>
    <row r="5" spans="1:46">
      <c r="A5" s="1">
        <v>0.263616558</v>
      </c>
      <c r="B5">
        <v>0.2</v>
      </c>
      <c r="C5" s="9">
        <v>0.2</v>
      </c>
      <c r="D5" s="10">
        <v>147</v>
      </c>
      <c r="I5" s="1">
        <v>28</v>
      </c>
      <c r="J5">
        <v>7</v>
      </c>
      <c r="K5" s="9">
        <v>3</v>
      </c>
      <c r="L5" s="10">
        <v>12</v>
      </c>
      <c r="P5" s="1">
        <v>2.9</v>
      </c>
      <c r="Q5">
        <v>1</v>
      </c>
      <c r="R5" s="9">
        <v>0.5</v>
      </c>
      <c r="S5" s="10">
        <v>15</v>
      </c>
      <c r="X5" s="1">
        <v>116</v>
      </c>
      <c r="Y5">
        <v>120</v>
      </c>
      <c r="AJ5" s="1">
        <v>0.97</v>
      </c>
      <c r="AK5" s="1">
        <v>1.6</v>
      </c>
      <c r="AM5" s="1">
        <v>480</v>
      </c>
      <c r="AN5" s="1">
        <v>300</v>
      </c>
      <c r="AO5" s="1">
        <v>12</v>
      </c>
      <c r="AP5" s="1">
        <v>9</v>
      </c>
      <c r="AQ5" s="1">
        <v>669.94764</v>
      </c>
      <c r="AR5" s="1">
        <v>500</v>
      </c>
      <c r="AS5" s="9">
        <v>1.6</v>
      </c>
      <c r="AT5" s="10">
        <v>70</v>
      </c>
    </row>
    <row r="6" spans="1:46">
      <c r="A6" s="1">
        <v>0.263616558</v>
      </c>
      <c r="B6">
        <v>0.25</v>
      </c>
      <c r="C6" s="9">
        <v>0.25</v>
      </c>
      <c r="D6" s="10">
        <v>48</v>
      </c>
      <c r="I6" s="1">
        <v>28</v>
      </c>
      <c r="J6">
        <v>28</v>
      </c>
      <c r="K6" s="9">
        <v>7</v>
      </c>
      <c r="L6" s="10">
        <v>18</v>
      </c>
      <c r="P6" s="1">
        <v>2.9</v>
      </c>
      <c r="Q6">
        <v>1.5</v>
      </c>
      <c r="R6" s="9">
        <v>1</v>
      </c>
      <c r="S6" s="10">
        <v>15</v>
      </c>
      <c r="X6" s="1">
        <v>116</v>
      </c>
      <c r="Y6">
        <v>160</v>
      </c>
      <c r="AJ6" s="1">
        <v>0.97</v>
      </c>
      <c r="AK6" s="1">
        <v>2</v>
      </c>
      <c r="AM6" s="1">
        <v>480</v>
      </c>
      <c r="AN6" s="1">
        <v>400</v>
      </c>
      <c r="AO6" s="1">
        <v>12</v>
      </c>
      <c r="AP6" s="1">
        <v>12</v>
      </c>
      <c r="AQ6" s="1">
        <v>669.94764</v>
      </c>
      <c r="AR6" s="11">
        <v>600</v>
      </c>
      <c r="AS6" s="9">
        <v>2</v>
      </c>
      <c r="AT6" s="10">
        <v>0</v>
      </c>
    </row>
    <row r="7" ht="14.55" spans="1:46">
      <c r="A7" s="1">
        <v>0.263616558</v>
      </c>
      <c r="B7">
        <v>0.3</v>
      </c>
      <c r="C7" s="9">
        <v>0.3</v>
      </c>
      <c r="D7" s="10">
        <v>62</v>
      </c>
      <c r="I7" s="1">
        <v>28</v>
      </c>
      <c r="K7" s="9">
        <v>28</v>
      </c>
      <c r="L7" s="10">
        <v>254</v>
      </c>
      <c r="P7" s="1">
        <v>2.9</v>
      </c>
      <c r="Q7">
        <v>2</v>
      </c>
      <c r="R7" s="9">
        <v>1.5</v>
      </c>
      <c r="S7" s="10">
        <v>0</v>
      </c>
      <c r="X7" s="1">
        <v>116</v>
      </c>
      <c r="Y7">
        <v>200</v>
      </c>
      <c r="AJ7" s="1">
        <v>0.97</v>
      </c>
      <c r="AK7" s="1">
        <v>2.4</v>
      </c>
      <c r="AM7" s="1">
        <v>480</v>
      </c>
      <c r="AN7" s="1">
        <v>500</v>
      </c>
      <c r="AO7" s="1">
        <v>12</v>
      </c>
      <c r="AP7" s="1">
        <v>15</v>
      </c>
      <c r="AQ7" s="1">
        <v>669.94764</v>
      </c>
      <c r="AR7" s="11">
        <v>700</v>
      </c>
      <c r="AS7" s="9">
        <v>2.4</v>
      </c>
      <c r="AT7" s="10">
        <v>0</v>
      </c>
    </row>
    <row r="8" ht="14.55" spans="1:46">
      <c r="A8" s="1">
        <v>0.263616558</v>
      </c>
      <c r="B8">
        <v>0.35</v>
      </c>
      <c r="C8" s="9">
        <v>0.35</v>
      </c>
      <c r="D8" s="10">
        <v>39</v>
      </c>
      <c r="I8" s="1">
        <v>28</v>
      </c>
      <c r="K8" s="12" t="s">
        <v>27</v>
      </c>
      <c r="L8" s="12">
        <v>0</v>
      </c>
      <c r="P8" s="1">
        <v>2.9</v>
      </c>
      <c r="Q8">
        <v>2.5</v>
      </c>
      <c r="R8" s="9">
        <v>2</v>
      </c>
      <c r="S8" s="10">
        <v>82</v>
      </c>
      <c r="X8" s="1">
        <v>116</v>
      </c>
      <c r="Y8" s="8" t="s">
        <v>25</v>
      </c>
      <c r="Z8" s="8" t="s">
        <v>26</v>
      </c>
      <c r="AJ8" s="1">
        <v>0.97</v>
      </c>
      <c r="AK8" s="1">
        <v>2.8</v>
      </c>
      <c r="AM8" s="1">
        <v>480</v>
      </c>
      <c r="AN8" s="1">
        <v>600</v>
      </c>
      <c r="AO8" s="1">
        <v>12</v>
      </c>
      <c r="AP8" s="1">
        <v>18</v>
      </c>
      <c r="AQ8" s="1">
        <v>669.94764</v>
      </c>
      <c r="AR8" s="11">
        <v>800</v>
      </c>
      <c r="AS8" s="9">
        <v>2.8</v>
      </c>
      <c r="AT8" s="10">
        <v>12</v>
      </c>
    </row>
    <row r="9" ht="14.55" spans="1:46">
      <c r="A9" s="1">
        <v>0.263616558</v>
      </c>
      <c r="C9" s="12" t="s">
        <v>27</v>
      </c>
      <c r="D9" s="12">
        <v>0</v>
      </c>
      <c r="I9" s="1">
        <v>28</v>
      </c>
      <c r="P9" s="1">
        <v>2.9</v>
      </c>
      <c r="Q9">
        <v>3</v>
      </c>
      <c r="R9" s="9">
        <v>2.5</v>
      </c>
      <c r="S9" s="10">
        <v>117</v>
      </c>
      <c r="X9" s="1">
        <v>116</v>
      </c>
      <c r="Y9" s="9">
        <v>40</v>
      </c>
      <c r="Z9" s="10">
        <v>30</v>
      </c>
      <c r="AJ9" s="1">
        <v>0.97</v>
      </c>
      <c r="AK9" s="1">
        <v>3.2</v>
      </c>
      <c r="AM9" s="1">
        <v>480</v>
      </c>
      <c r="AN9" s="1">
        <v>700</v>
      </c>
      <c r="AO9" s="1">
        <v>12</v>
      </c>
      <c r="AQ9" s="1">
        <v>669.94764</v>
      </c>
      <c r="AR9" s="11">
        <v>900</v>
      </c>
      <c r="AS9" s="9">
        <v>3.2</v>
      </c>
      <c r="AT9" s="10">
        <v>0</v>
      </c>
    </row>
    <row r="10" ht="14.55" spans="1:46">
      <c r="A10" s="1">
        <v>0.263616558</v>
      </c>
      <c r="I10" s="1">
        <v>28</v>
      </c>
      <c r="P10" s="1">
        <v>2.9</v>
      </c>
      <c r="R10" s="9">
        <v>3</v>
      </c>
      <c r="S10" s="10">
        <v>67</v>
      </c>
      <c r="X10" s="1">
        <v>116</v>
      </c>
      <c r="Y10" s="9">
        <v>80</v>
      </c>
      <c r="Z10" s="10">
        <v>70</v>
      </c>
      <c r="AJ10" s="1">
        <v>0.97</v>
      </c>
      <c r="AM10" s="1">
        <v>480</v>
      </c>
      <c r="AN10" s="1">
        <v>800</v>
      </c>
      <c r="AO10" s="1">
        <v>12</v>
      </c>
      <c r="AQ10" s="1">
        <v>669.94764</v>
      </c>
      <c r="AR10" s="11">
        <v>1000</v>
      </c>
      <c r="AS10" s="12" t="s">
        <v>27</v>
      </c>
      <c r="AT10" s="12">
        <v>0</v>
      </c>
    </row>
    <row r="11" ht="14.55" spans="1:46">
      <c r="A11" s="1">
        <v>0.263616558</v>
      </c>
      <c r="I11" s="1">
        <v>28</v>
      </c>
      <c r="P11" s="1">
        <v>2.9</v>
      </c>
      <c r="R11" s="12" t="s">
        <v>27</v>
      </c>
      <c r="S11" s="12">
        <v>0</v>
      </c>
      <c r="X11" s="1">
        <v>116</v>
      </c>
      <c r="Y11" s="9">
        <v>120</v>
      </c>
      <c r="Z11" s="10">
        <v>159</v>
      </c>
      <c r="AJ11" s="1">
        <v>0.97</v>
      </c>
      <c r="AM11" s="1">
        <v>480</v>
      </c>
      <c r="AN11" s="1">
        <v>900</v>
      </c>
      <c r="AO11" s="1">
        <v>12</v>
      </c>
      <c r="AQ11" s="1">
        <v>669.94764</v>
      </c>
      <c r="AR11" s="11">
        <v>1100</v>
      </c>
    </row>
    <row r="12" spans="1:46">
      <c r="A12" s="1">
        <v>0.263616558</v>
      </c>
      <c r="I12" s="1">
        <v>28</v>
      </c>
      <c r="P12" s="1">
        <v>2.9</v>
      </c>
      <c r="X12" s="1">
        <v>116</v>
      </c>
      <c r="Y12" s="9">
        <v>160</v>
      </c>
      <c r="Z12" s="10">
        <v>0</v>
      </c>
      <c r="AJ12" s="1">
        <v>0.97</v>
      </c>
      <c r="AM12" s="1">
        <v>480</v>
      </c>
      <c r="AN12" s="1">
        <v>1000</v>
      </c>
      <c r="AO12" s="1">
        <v>12</v>
      </c>
      <c r="AQ12" s="1">
        <v>669.94764</v>
      </c>
      <c r="AR12" s="11">
        <v>1200</v>
      </c>
    </row>
    <row r="13" spans="1:46">
      <c r="A13" s="1">
        <v>0.263616558</v>
      </c>
      <c r="I13" s="1">
        <v>28</v>
      </c>
      <c r="P13" s="1">
        <v>2.9</v>
      </c>
      <c r="X13" s="1">
        <v>116</v>
      </c>
      <c r="Y13" s="9">
        <v>200</v>
      </c>
      <c r="Z13" s="10">
        <v>158</v>
      </c>
      <c r="AJ13" s="1">
        <v>0.97</v>
      </c>
      <c r="AM13" s="1">
        <v>480</v>
      </c>
      <c r="AN13" s="1">
        <v>1200</v>
      </c>
      <c r="AO13" s="1">
        <v>12</v>
      </c>
      <c r="AQ13" s="1">
        <v>669.94764</v>
      </c>
      <c r="AR13" s="11">
        <v>1300</v>
      </c>
    </row>
    <row r="14" ht="14.55" spans="1:46">
      <c r="A14" s="1">
        <v>0.263616558</v>
      </c>
      <c r="I14" s="1">
        <v>28</v>
      </c>
      <c r="P14" s="1">
        <v>2.9</v>
      </c>
      <c r="X14" s="1">
        <v>116</v>
      </c>
      <c r="Y14" s="12" t="s">
        <v>27</v>
      </c>
      <c r="Z14" s="12">
        <v>0</v>
      </c>
      <c r="AJ14" s="1">
        <v>0.97</v>
      </c>
      <c r="AM14" s="1">
        <v>480</v>
      </c>
      <c r="AO14" s="1">
        <v>12</v>
      </c>
      <c r="AQ14" s="1">
        <v>669.94764</v>
      </c>
    </row>
    <row r="15" ht="14.55" spans="1:46">
      <c r="A15" s="1">
        <v>0.263616558</v>
      </c>
      <c r="I15" s="1">
        <v>28</v>
      </c>
      <c r="P15" s="1">
        <v>2.9</v>
      </c>
      <c r="X15" s="1">
        <v>116</v>
      </c>
      <c r="AJ15" s="1">
        <v>0.97</v>
      </c>
      <c r="AM15" s="1">
        <v>480</v>
      </c>
      <c r="AO15" s="1">
        <v>12</v>
      </c>
      <c r="AQ15" s="1">
        <v>669.94764</v>
      </c>
    </row>
    <row r="16" spans="1:46">
      <c r="A16" s="1">
        <v>0.263616558</v>
      </c>
      <c r="I16" s="1">
        <v>28</v>
      </c>
      <c r="P16" s="1">
        <v>2.9</v>
      </c>
      <c r="X16" s="1">
        <v>116</v>
      </c>
      <c r="AJ16" s="1">
        <v>0.97</v>
      </c>
      <c r="AM16" s="1">
        <v>480</v>
      </c>
      <c r="AO16" s="1">
        <v>12</v>
      </c>
      <c r="AQ16" s="1">
        <v>669.94764</v>
      </c>
      <c r="AS16" s="8" t="s">
        <v>25</v>
      </c>
      <c r="AT16" s="8" t="s">
        <v>26</v>
      </c>
    </row>
    <row r="17" spans="1:46">
      <c r="A17" s="1">
        <v>0.263616558</v>
      </c>
      <c r="I17" s="1">
        <v>28</v>
      </c>
      <c r="P17" s="1">
        <v>2.9</v>
      </c>
      <c r="X17" s="1">
        <v>116</v>
      </c>
      <c r="AJ17" s="1">
        <v>0.97</v>
      </c>
      <c r="AM17" s="1">
        <v>480</v>
      </c>
      <c r="AO17" s="1">
        <v>12</v>
      </c>
      <c r="AQ17" s="1">
        <v>669.94764</v>
      </c>
      <c r="AS17" s="9">
        <v>100</v>
      </c>
      <c r="AT17" s="10">
        <v>36</v>
      </c>
    </row>
    <row r="18" spans="1:46">
      <c r="A18" s="1">
        <v>0.263616558</v>
      </c>
      <c r="I18" s="1">
        <v>28</v>
      </c>
      <c r="P18" s="1">
        <v>2.9</v>
      </c>
      <c r="X18" s="1">
        <v>116</v>
      </c>
      <c r="AJ18" s="1">
        <v>0.97</v>
      </c>
      <c r="AM18" s="1">
        <v>480</v>
      </c>
      <c r="AO18" s="1">
        <v>12</v>
      </c>
      <c r="AQ18" s="1">
        <v>669.94764</v>
      </c>
      <c r="AS18" s="9">
        <v>200</v>
      </c>
      <c r="AT18" s="10">
        <v>81</v>
      </c>
    </row>
    <row r="19" spans="1:46">
      <c r="A19" s="1">
        <v>0.263616558</v>
      </c>
      <c r="I19" s="1">
        <v>28</v>
      </c>
      <c r="P19" s="1">
        <v>2.9</v>
      </c>
      <c r="X19" s="1">
        <v>116</v>
      </c>
      <c r="AJ19" s="1">
        <v>0.97</v>
      </c>
      <c r="AM19" s="1">
        <v>480</v>
      </c>
      <c r="AO19" s="1">
        <v>12</v>
      </c>
      <c r="AQ19" s="1">
        <v>669.94764</v>
      </c>
      <c r="AS19" s="9">
        <v>300</v>
      </c>
      <c r="AT19" s="10">
        <v>102</v>
      </c>
    </row>
    <row r="20" spans="1:46">
      <c r="A20" s="1">
        <v>0.263616558</v>
      </c>
      <c r="I20" s="1">
        <v>28</v>
      </c>
      <c r="P20" s="1">
        <v>2.9</v>
      </c>
      <c r="X20" s="1">
        <v>116</v>
      </c>
      <c r="AJ20" s="1">
        <v>0.97</v>
      </c>
      <c r="AM20" s="1">
        <v>480</v>
      </c>
      <c r="AO20" s="1">
        <v>12</v>
      </c>
      <c r="AQ20" s="1">
        <v>669.94764</v>
      </c>
      <c r="AS20" s="9">
        <v>400</v>
      </c>
      <c r="AT20" s="10">
        <v>6</v>
      </c>
    </row>
    <row r="21" spans="1:46">
      <c r="A21" s="1">
        <v>0.263616558</v>
      </c>
      <c r="I21" s="1">
        <v>28</v>
      </c>
      <c r="P21" s="1">
        <v>2.9</v>
      </c>
      <c r="X21" s="1">
        <v>116</v>
      </c>
      <c r="AJ21" s="1">
        <v>0.97</v>
      </c>
      <c r="AM21" s="1">
        <v>480</v>
      </c>
      <c r="AO21" s="1">
        <v>12</v>
      </c>
      <c r="AQ21" s="1">
        <v>669.94764</v>
      </c>
      <c r="AS21" s="9">
        <v>500</v>
      </c>
      <c r="AT21" s="10">
        <v>43</v>
      </c>
    </row>
    <row r="22" spans="1:46">
      <c r="A22" s="1">
        <v>0.263616558</v>
      </c>
      <c r="I22" s="1">
        <v>28</v>
      </c>
      <c r="P22" s="1">
        <v>2.9</v>
      </c>
      <c r="X22" s="1">
        <v>116</v>
      </c>
      <c r="AJ22" s="1">
        <v>0.97</v>
      </c>
      <c r="AM22" s="1">
        <v>480</v>
      </c>
      <c r="AO22" s="1">
        <v>12</v>
      </c>
      <c r="AQ22" s="1">
        <v>669.94764</v>
      </c>
      <c r="AS22" s="9">
        <v>600</v>
      </c>
      <c r="AT22" s="10">
        <v>6</v>
      </c>
    </row>
    <row r="23" spans="1:46">
      <c r="A23" s="1">
        <v>0.263616558</v>
      </c>
      <c r="I23" s="1">
        <v>28</v>
      </c>
      <c r="P23" s="1">
        <v>2.9</v>
      </c>
      <c r="X23" s="1">
        <v>116</v>
      </c>
      <c r="AJ23" s="1">
        <v>0.97</v>
      </c>
      <c r="AM23" s="1">
        <v>480</v>
      </c>
      <c r="AO23" s="1">
        <v>12</v>
      </c>
      <c r="AQ23" s="1">
        <v>669.94764</v>
      </c>
      <c r="AS23" s="9">
        <v>700</v>
      </c>
      <c r="AT23" s="10">
        <v>0</v>
      </c>
    </row>
    <row r="24" spans="1:46">
      <c r="A24" s="1">
        <v>0.263616558</v>
      </c>
      <c r="B24" t="s">
        <v>25</v>
      </c>
      <c r="C24" t="s">
        <v>26</v>
      </c>
      <c r="I24" s="1">
        <v>28</v>
      </c>
      <c r="P24" s="1">
        <v>2.9</v>
      </c>
      <c r="X24" s="1">
        <v>116</v>
      </c>
      <c r="AJ24" s="1">
        <v>0.97</v>
      </c>
      <c r="AM24" s="1">
        <v>480</v>
      </c>
      <c r="AO24" s="1">
        <v>12</v>
      </c>
      <c r="AQ24" s="1">
        <v>669.94764</v>
      </c>
      <c r="AS24" s="9">
        <v>800</v>
      </c>
      <c r="AT24" s="10">
        <v>0</v>
      </c>
    </row>
    <row r="25" spans="1:46">
      <c r="A25" s="1">
        <v>0.263616558</v>
      </c>
      <c r="B25" s="13">
        <v>0.1</v>
      </c>
      <c r="C25">
        <v>0</v>
      </c>
      <c r="I25" s="1">
        <v>28</v>
      </c>
      <c r="P25" s="1">
        <v>2.9</v>
      </c>
      <c r="X25" s="1">
        <v>116</v>
      </c>
      <c r="AJ25" s="1">
        <v>0.97</v>
      </c>
      <c r="AM25" s="1">
        <v>480</v>
      </c>
      <c r="AO25" s="1">
        <v>12</v>
      </c>
      <c r="AQ25" s="1">
        <v>669.94764</v>
      </c>
      <c r="AS25" s="9">
        <v>900</v>
      </c>
      <c r="AT25" s="10">
        <v>0</v>
      </c>
    </row>
    <row r="26" ht="14.55" spans="1:46">
      <c r="A26" s="1">
        <v>0.263616558</v>
      </c>
      <c r="B26" s="13">
        <v>0.16</v>
      </c>
      <c r="C26">
        <v>27</v>
      </c>
      <c r="I26" s="1">
        <v>28</v>
      </c>
      <c r="P26" s="1">
        <v>2.9</v>
      </c>
      <c r="X26" s="1">
        <v>116</v>
      </c>
      <c r="AJ26" s="1">
        <v>0.97</v>
      </c>
      <c r="AM26" s="1">
        <v>480</v>
      </c>
      <c r="AO26" s="1">
        <v>12</v>
      </c>
      <c r="AQ26" s="1">
        <v>669.94764</v>
      </c>
      <c r="AS26" s="9">
        <v>1000</v>
      </c>
      <c r="AT26" s="10">
        <v>0</v>
      </c>
    </row>
    <row r="27" spans="1:46">
      <c r="A27" s="1">
        <v>0.263616558</v>
      </c>
      <c r="B27" s="13">
        <v>0.2</v>
      </c>
      <c r="C27">
        <v>120</v>
      </c>
      <c r="D27" s="8"/>
      <c r="I27" s="1">
        <v>28</v>
      </c>
      <c r="P27" s="1">
        <v>2.9</v>
      </c>
      <c r="X27" s="1">
        <v>116</v>
      </c>
      <c r="AJ27" s="1">
        <v>0.97</v>
      </c>
      <c r="AM27" s="1">
        <v>480</v>
      </c>
      <c r="AO27" s="1">
        <v>12</v>
      </c>
      <c r="AQ27" s="1">
        <v>669.94764</v>
      </c>
      <c r="AS27" s="9">
        <v>1200</v>
      </c>
      <c r="AT27" s="10">
        <v>13</v>
      </c>
    </row>
    <row r="28" ht="14.55" spans="1:46">
      <c r="A28" s="1">
        <v>0.263616558</v>
      </c>
      <c r="B28" s="13">
        <v>0.25</v>
      </c>
      <c r="C28">
        <v>48</v>
      </c>
      <c r="D28" s="10"/>
      <c r="I28" s="1">
        <v>28</v>
      </c>
      <c r="P28" s="1">
        <v>2.9</v>
      </c>
      <c r="X28" s="1">
        <v>116</v>
      </c>
      <c r="AJ28" s="1">
        <v>0.97</v>
      </c>
      <c r="AM28" s="1">
        <v>480</v>
      </c>
      <c r="AO28" s="1">
        <v>12</v>
      </c>
      <c r="AQ28" s="1">
        <v>669.94764</v>
      </c>
      <c r="AS28" s="12" t="s">
        <v>27</v>
      </c>
      <c r="AT28" s="12">
        <v>0</v>
      </c>
    </row>
    <row r="29" spans="1:46">
      <c r="A29" s="1">
        <v>0.263616558</v>
      </c>
      <c r="B29" s="13">
        <v>0.3</v>
      </c>
      <c r="C29">
        <v>62</v>
      </c>
      <c r="D29" s="10"/>
      <c r="I29" s="1">
        <v>28</v>
      </c>
      <c r="P29" s="1">
        <v>2.9</v>
      </c>
      <c r="X29" s="1">
        <v>116</v>
      </c>
      <c r="AJ29" s="1">
        <v>0.97</v>
      </c>
      <c r="AM29" s="1">
        <v>480</v>
      </c>
      <c r="AO29" s="1">
        <v>12</v>
      </c>
      <c r="AQ29" s="1">
        <v>669.94764</v>
      </c>
    </row>
    <row r="30" spans="1:46">
      <c r="A30" s="1">
        <v>0.263616558</v>
      </c>
      <c r="B30" s="13">
        <v>0.35</v>
      </c>
      <c r="C30">
        <v>39</v>
      </c>
      <c r="D30" s="10"/>
      <c r="I30" s="1">
        <v>28</v>
      </c>
      <c r="P30" s="1">
        <v>2.9</v>
      </c>
      <c r="X30" s="1">
        <v>116</v>
      </c>
      <c r="AJ30" s="1">
        <v>0.97</v>
      </c>
      <c r="AM30" s="1">
        <v>480</v>
      </c>
      <c r="AO30" s="1">
        <v>12</v>
      </c>
      <c r="AQ30" s="1">
        <v>669.94764</v>
      </c>
    </row>
    <row r="31" spans="1:46">
      <c r="A31" s="1">
        <v>0.263616558</v>
      </c>
      <c r="B31" t="s">
        <v>27</v>
      </c>
      <c r="C31">
        <v>0</v>
      </c>
      <c r="D31" s="10"/>
      <c r="I31" s="1">
        <v>28</v>
      </c>
      <c r="P31" s="1">
        <v>2.9</v>
      </c>
      <c r="X31" s="1">
        <v>116</v>
      </c>
      <c r="AJ31" s="1">
        <v>0.97</v>
      </c>
      <c r="AM31" s="1">
        <v>480</v>
      </c>
      <c r="AO31" s="1">
        <v>12</v>
      </c>
      <c r="AQ31" s="1">
        <v>669.94764</v>
      </c>
    </row>
    <row r="32" spans="1:46">
      <c r="A32" s="1">
        <v>0.263616558</v>
      </c>
      <c r="C32" s="9"/>
      <c r="D32" s="10"/>
      <c r="I32" s="1">
        <v>28</v>
      </c>
      <c r="P32" s="1">
        <v>2.9</v>
      </c>
      <c r="X32" s="1">
        <v>116</v>
      </c>
      <c r="AJ32" s="1">
        <v>0.97</v>
      </c>
      <c r="AM32" s="1">
        <v>480</v>
      </c>
      <c r="AO32" s="1">
        <v>12</v>
      </c>
      <c r="AQ32" s="1">
        <v>669.94764</v>
      </c>
    </row>
    <row r="33" spans="1:46">
      <c r="A33" s="1">
        <v>0.263616558</v>
      </c>
      <c r="C33" s="9"/>
      <c r="D33" s="10"/>
      <c r="I33" s="1">
        <v>28</v>
      </c>
      <c r="P33" s="1">
        <v>2.9</v>
      </c>
      <c r="X33" s="1">
        <v>116</v>
      </c>
      <c r="AJ33" s="1">
        <v>0.97</v>
      </c>
      <c r="AM33" s="1">
        <v>480</v>
      </c>
      <c r="AO33" s="1">
        <v>12</v>
      </c>
      <c r="AQ33" s="1">
        <v>669.94764</v>
      </c>
    </row>
    <row r="34" ht="14.55" spans="1:46">
      <c r="A34" s="1">
        <v>0.263616558</v>
      </c>
      <c r="C34" s="12"/>
      <c r="D34" s="12"/>
      <c r="I34" s="1">
        <v>28</v>
      </c>
      <c r="P34" s="1">
        <v>2.9</v>
      </c>
      <c r="X34" s="1">
        <v>116</v>
      </c>
      <c r="AJ34" s="1">
        <v>0.97</v>
      </c>
      <c r="AM34" s="1">
        <v>480</v>
      </c>
      <c r="AO34" s="1">
        <v>12</v>
      </c>
      <c r="AQ34" s="1">
        <v>669.94764</v>
      </c>
    </row>
    <row r="35" ht="14.55" spans="1:46">
      <c r="A35" s="1">
        <v>0.263616558</v>
      </c>
      <c r="I35" s="1">
        <v>28</v>
      </c>
      <c r="P35" s="1">
        <v>2.9</v>
      </c>
      <c r="X35" s="1">
        <v>116</v>
      </c>
      <c r="AJ35" s="1">
        <v>0.97</v>
      </c>
      <c r="AM35" s="1">
        <v>480</v>
      </c>
      <c r="AO35" s="1">
        <v>12</v>
      </c>
      <c r="AQ35" s="1">
        <v>669.94764</v>
      </c>
    </row>
    <row r="36" spans="1:46">
      <c r="A36" s="1">
        <v>0.263616558</v>
      </c>
      <c r="I36" s="1">
        <v>28</v>
      </c>
      <c r="P36" s="1">
        <v>2.9</v>
      </c>
      <c r="X36" s="1">
        <v>116</v>
      </c>
      <c r="AJ36" s="1">
        <v>0.97</v>
      </c>
      <c r="AM36" s="1">
        <v>480</v>
      </c>
      <c r="AO36" s="1">
        <v>12</v>
      </c>
      <c r="AQ36" s="1">
        <v>669.94764</v>
      </c>
      <c r="AS36" s="8" t="s">
        <v>25</v>
      </c>
      <c r="AT36" s="8" t="s">
        <v>26</v>
      </c>
    </row>
    <row r="37" spans="1:46">
      <c r="A37" s="1">
        <v>0.263616558</v>
      </c>
      <c r="I37" s="1">
        <v>28</v>
      </c>
      <c r="P37" s="1">
        <v>2.9</v>
      </c>
      <c r="X37" s="1">
        <v>116</v>
      </c>
      <c r="AJ37" s="1">
        <v>0.97</v>
      </c>
      <c r="AM37" s="1">
        <v>480</v>
      </c>
      <c r="AO37" s="1">
        <v>12</v>
      </c>
      <c r="AQ37" s="1">
        <v>669.94764</v>
      </c>
      <c r="AS37" s="9">
        <v>3</v>
      </c>
      <c r="AT37" s="10">
        <v>54</v>
      </c>
    </row>
    <row r="38" spans="1:46">
      <c r="A38" s="1">
        <v>0.263616558</v>
      </c>
      <c r="I38" s="1">
        <v>28</v>
      </c>
      <c r="P38" s="1">
        <v>2.9</v>
      </c>
      <c r="X38" s="1">
        <v>116</v>
      </c>
      <c r="AJ38" s="1">
        <v>0.97</v>
      </c>
      <c r="AM38" s="1">
        <v>480</v>
      </c>
      <c r="AO38" s="1">
        <v>12</v>
      </c>
      <c r="AQ38" s="1">
        <v>669.94764</v>
      </c>
      <c r="AS38" s="9">
        <v>6</v>
      </c>
      <c r="AT38" s="10">
        <v>120</v>
      </c>
    </row>
    <row r="39" spans="1:46">
      <c r="A39" s="1">
        <v>0.263616558</v>
      </c>
      <c r="I39" s="1">
        <v>28</v>
      </c>
      <c r="P39" s="1">
        <v>2.9</v>
      </c>
      <c r="X39" s="1">
        <v>116</v>
      </c>
      <c r="AJ39" s="1">
        <v>0.97</v>
      </c>
      <c r="AM39" s="1">
        <v>480</v>
      </c>
      <c r="AO39" s="1">
        <v>12</v>
      </c>
      <c r="AQ39" s="1">
        <v>669.94764</v>
      </c>
      <c r="AS39" s="9">
        <v>9</v>
      </c>
      <c r="AT39" s="10">
        <v>48</v>
      </c>
    </row>
    <row r="40" spans="1:46">
      <c r="A40" s="1">
        <v>0.263616558</v>
      </c>
      <c r="I40" s="1">
        <v>28</v>
      </c>
      <c r="P40" s="1">
        <v>2.9</v>
      </c>
      <c r="X40" s="1">
        <v>116</v>
      </c>
      <c r="AJ40" s="1">
        <v>0.97</v>
      </c>
      <c r="AM40" s="1">
        <v>480</v>
      </c>
      <c r="AO40" s="1">
        <v>12</v>
      </c>
      <c r="AQ40" s="1">
        <v>669.94764</v>
      </c>
      <c r="AS40" s="9">
        <v>12</v>
      </c>
      <c r="AT40" s="10">
        <v>61</v>
      </c>
    </row>
    <row r="41" spans="1:46">
      <c r="A41" s="1">
        <v>0.263616558</v>
      </c>
      <c r="I41" s="1">
        <v>28</v>
      </c>
      <c r="P41" s="1">
        <v>2.9</v>
      </c>
      <c r="X41" s="1">
        <v>116</v>
      </c>
      <c r="AJ41" s="1">
        <v>0.97</v>
      </c>
      <c r="AM41" s="1">
        <v>480</v>
      </c>
      <c r="AO41" s="1">
        <v>12</v>
      </c>
      <c r="AQ41" s="1">
        <v>669.94764</v>
      </c>
      <c r="AS41" s="9">
        <v>15</v>
      </c>
      <c r="AT41" s="10">
        <v>0</v>
      </c>
    </row>
    <row r="42" spans="1:46">
      <c r="A42" s="1">
        <v>0.263616558</v>
      </c>
      <c r="I42" s="1">
        <v>28</v>
      </c>
      <c r="P42" s="1">
        <v>2.9</v>
      </c>
      <c r="X42" s="1">
        <v>116</v>
      </c>
      <c r="AJ42" s="1">
        <v>0.97</v>
      </c>
      <c r="AM42" s="1">
        <v>480</v>
      </c>
      <c r="AO42" s="1">
        <v>12</v>
      </c>
      <c r="AQ42" s="1">
        <v>669.94764</v>
      </c>
      <c r="AS42" s="9">
        <v>18</v>
      </c>
      <c r="AT42" s="10">
        <v>13</v>
      </c>
    </row>
    <row r="43" ht="14.55" spans="1:46">
      <c r="A43" s="1">
        <v>0.263616558</v>
      </c>
      <c r="I43" s="1">
        <v>28</v>
      </c>
      <c r="P43" s="1">
        <v>2.9</v>
      </c>
      <c r="X43" s="1">
        <v>116</v>
      </c>
      <c r="AJ43" s="1">
        <v>0.97</v>
      </c>
      <c r="AM43" s="1">
        <v>480</v>
      </c>
      <c r="AO43" s="1">
        <v>12</v>
      </c>
      <c r="AQ43" s="1">
        <v>669.94764</v>
      </c>
      <c r="AS43" s="12" t="s">
        <v>27</v>
      </c>
      <c r="AT43" s="12">
        <v>0</v>
      </c>
    </row>
    <row r="44" spans="1:46">
      <c r="A44" s="1">
        <v>0.263616558</v>
      </c>
      <c r="I44" s="1">
        <v>28</v>
      </c>
      <c r="P44" s="1">
        <v>2.9</v>
      </c>
      <c r="X44" s="1">
        <v>116</v>
      </c>
      <c r="AJ44" s="1">
        <v>0.97</v>
      </c>
      <c r="AM44" s="1">
        <v>480</v>
      </c>
      <c r="AO44" s="1">
        <v>12</v>
      </c>
      <c r="AQ44" s="1">
        <v>669.94764</v>
      </c>
    </row>
    <row r="45" spans="1:46">
      <c r="A45" s="1">
        <v>0.263616558</v>
      </c>
      <c r="I45" s="1">
        <v>28</v>
      </c>
      <c r="P45" s="1">
        <v>2.9</v>
      </c>
      <c r="X45" s="1">
        <v>116</v>
      </c>
      <c r="AJ45" s="1">
        <v>0.97</v>
      </c>
      <c r="AM45" s="1">
        <v>480</v>
      </c>
      <c r="AO45" s="1">
        <v>12</v>
      </c>
      <c r="AQ45" s="1">
        <v>669.94764</v>
      </c>
    </row>
    <row r="46" spans="1:46">
      <c r="A46" s="1">
        <v>0.169617894</v>
      </c>
      <c r="I46" s="1">
        <v>28</v>
      </c>
      <c r="P46" s="1">
        <v>2.4</v>
      </c>
      <c r="X46" s="1">
        <v>200</v>
      </c>
      <c r="AJ46" s="1">
        <v>0.785</v>
      </c>
      <c r="AM46" s="1">
        <v>150</v>
      </c>
      <c r="AO46" s="1">
        <v>3</v>
      </c>
      <c r="AQ46" s="1">
        <v>583.242772</v>
      </c>
    </row>
    <row r="47" spans="1:46">
      <c r="A47" s="1">
        <v>0.169617894</v>
      </c>
      <c r="I47" s="1">
        <v>28</v>
      </c>
      <c r="P47" s="1">
        <v>2.4</v>
      </c>
      <c r="X47" s="1">
        <v>200</v>
      </c>
      <c r="AJ47" s="1">
        <v>0.785</v>
      </c>
      <c r="AM47" s="1">
        <v>150</v>
      </c>
      <c r="AO47" s="1">
        <v>3</v>
      </c>
      <c r="AQ47" s="1">
        <v>583.242772</v>
      </c>
    </row>
    <row r="48" spans="1:46">
      <c r="A48" s="1">
        <v>0.169617894</v>
      </c>
      <c r="I48" s="1">
        <v>28</v>
      </c>
      <c r="P48" s="1">
        <v>2.4</v>
      </c>
      <c r="X48" s="1">
        <v>200</v>
      </c>
      <c r="AJ48" s="1">
        <v>0.785</v>
      </c>
      <c r="AM48" s="1">
        <v>150</v>
      </c>
      <c r="AO48" s="1">
        <v>3</v>
      </c>
      <c r="AQ48" s="1">
        <v>583.242772</v>
      </c>
    </row>
    <row r="49" spans="1:46">
      <c r="A49" s="1">
        <v>0.169617894</v>
      </c>
      <c r="I49" s="1">
        <v>28</v>
      </c>
      <c r="P49" s="1">
        <v>2.4</v>
      </c>
      <c r="X49" s="1">
        <v>200</v>
      </c>
      <c r="AJ49" s="1">
        <v>0.785</v>
      </c>
      <c r="AM49" s="1">
        <v>150</v>
      </c>
      <c r="AO49" s="1">
        <v>3</v>
      </c>
      <c r="AQ49" s="1">
        <v>583.242772</v>
      </c>
    </row>
    <row r="50" ht="14.55" spans="1:46">
      <c r="A50" s="1">
        <v>0.169617894</v>
      </c>
      <c r="I50" s="1">
        <v>28</v>
      </c>
      <c r="P50" s="1">
        <v>2.4</v>
      </c>
      <c r="X50" s="1">
        <v>200</v>
      </c>
      <c r="AJ50" s="1">
        <v>0.785</v>
      </c>
      <c r="AM50" s="1">
        <v>150</v>
      </c>
      <c r="AO50" s="1">
        <v>3</v>
      </c>
      <c r="AQ50" s="1">
        <v>583.242772</v>
      </c>
    </row>
    <row r="51" spans="1:46">
      <c r="A51" s="1">
        <v>0.169617894</v>
      </c>
      <c r="I51" s="1">
        <v>28</v>
      </c>
      <c r="P51" s="1">
        <v>2.4</v>
      </c>
      <c r="X51" s="1">
        <v>200</v>
      </c>
      <c r="AJ51" s="1">
        <v>0.785</v>
      </c>
      <c r="AM51" s="1">
        <v>150</v>
      </c>
      <c r="AO51" s="1">
        <v>3</v>
      </c>
      <c r="AQ51" s="1">
        <v>583.242772</v>
      </c>
      <c r="AS51" s="8" t="s">
        <v>25</v>
      </c>
      <c r="AT51" s="8" t="s">
        <v>26</v>
      </c>
    </row>
    <row r="52" spans="1:46">
      <c r="A52" s="1">
        <v>0.169617894</v>
      </c>
      <c r="I52" s="1">
        <v>28</v>
      </c>
      <c r="P52" s="1">
        <v>2.4</v>
      </c>
      <c r="X52" s="1">
        <v>200</v>
      </c>
      <c r="AJ52" s="1">
        <v>0.785</v>
      </c>
      <c r="AM52" s="1">
        <v>150</v>
      </c>
      <c r="AO52" s="1">
        <v>3</v>
      </c>
      <c r="AQ52" s="1">
        <v>583.242772</v>
      </c>
      <c r="AS52" s="9">
        <v>300</v>
      </c>
      <c r="AT52" s="10">
        <v>9</v>
      </c>
    </row>
    <row r="53" spans="1:46">
      <c r="A53" s="1">
        <v>0.169617894</v>
      </c>
      <c r="I53" s="1">
        <v>28</v>
      </c>
      <c r="P53" s="1">
        <v>2.4</v>
      </c>
      <c r="X53" s="1">
        <v>200</v>
      </c>
      <c r="AJ53" s="1">
        <v>0.785</v>
      </c>
      <c r="AM53" s="1">
        <v>150</v>
      </c>
      <c r="AO53" s="1">
        <v>3</v>
      </c>
      <c r="AQ53" s="1">
        <v>583.242772</v>
      </c>
      <c r="AS53" s="9">
        <v>400</v>
      </c>
      <c r="AT53" s="10">
        <v>62</v>
      </c>
    </row>
    <row r="54" spans="1:46">
      <c r="A54" s="1">
        <v>0.169617894</v>
      </c>
      <c r="I54" s="1">
        <v>28</v>
      </c>
      <c r="P54" s="1">
        <v>2.4</v>
      </c>
      <c r="X54" s="1">
        <v>200</v>
      </c>
      <c r="AJ54" s="1">
        <v>0.785</v>
      </c>
      <c r="AM54" s="1">
        <v>150</v>
      </c>
      <c r="AO54" s="1">
        <v>3</v>
      </c>
      <c r="AQ54" s="1">
        <v>583.242772</v>
      </c>
      <c r="AS54" s="9">
        <v>500</v>
      </c>
      <c r="AT54" s="10">
        <v>37</v>
      </c>
    </row>
    <row r="55" spans="1:46">
      <c r="A55" s="1">
        <v>0.169617894</v>
      </c>
      <c r="I55" s="1">
        <v>28</v>
      </c>
      <c r="P55" s="1">
        <v>2.4</v>
      </c>
      <c r="X55" s="1">
        <v>200</v>
      </c>
      <c r="AJ55" s="1">
        <v>0.785</v>
      </c>
      <c r="AM55" s="1">
        <v>150</v>
      </c>
      <c r="AO55" s="1">
        <v>3</v>
      </c>
      <c r="AQ55" s="1">
        <v>583.242772</v>
      </c>
      <c r="AS55" s="9">
        <v>600</v>
      </c>
      <c r="AT55" s="10">
        <v>145</v>
      </c>
    </row>
    <row r="56" spans="1:46">
      <c r="A56" s="1">
        <v>0.169617894</v>
      </c>
      <c r="I56" s="1">
        <v>28</v>
      </c>
      <c r="P56" s="1">
        <v>2.4</v>
      </c>
      <c r="X56" s="1">
        <v>200</v>
      </c>
      <c r="AJ56" s="1">
        <v>0.785</v>
      </c>
      <c r="AM56" s="1">
        <v>150</v>
      </c>
      <c r="AO56" s="1">
        <v>3</v>
      </c>
      <c r="AQ56" s="1">
        <v>583.242772</v>
      </c>
      <c r="AS56" s="9">
        <v>700</v>
      </c>
      <c r="AT56" s="10">
        <v>78</v>
      </c>
    </row>
    <row r="57" spans="1:46">
      <c r="A57" s="1">
        <v>0.169617894</v>
      </c>
      <c r="I57" s="1">
        <v>28</v>
      </c>
      <c r="P57" s="1">
        <v>2.4</v>
      </c>
      <c r="X57" s="1">
        <v>200</v>
      </c>
      <c r="AJ57" s="1">
        <v>0.785</v>
      </c>
      <c r="AM57" s="1">
        <v>150</v>
      </c>
      <c r="AO57" s="1">
        <v>3</v>
      </c>
      <c r="AQ57" s="1">
        <v>583.242772</v>
      </c>
      <c r="AS57" s="9">
        <v>800</v>
      </c>
      <c r="AT57" s="10">
        <v>13</v>
      </c>
    </row>
    <row r="58" spans="1:46">
      <c r="A58" s="1">
        <v>0.169617894</v>
      </c>
      <c r="I58" s="1">
        <v>28</v>
      </c>
      <c r="P58" s="1">
        <v>2.4</v>
      </c>
      <c r="X58" s="1">
        <v>200</v>
      </c>
      <c r="AJ58" s="1">
        <v>0.785</v>
      </c>
      <c r="AM58" s="1">
        <v>150</v>
      </c>
      <c r="AO58" s="1">
        <v>3</v>
      </c>
      <c r="AQ58" s="1">
        <v>583.242772</v>
      </c>
      <c r="AS58" s="9">
        <v>900</v>
      </c>
      <c r="AT58" s="10">
        <v>27</v>
      </c>
    </row>
    <row r="59" spans="1:46">
      <c r="A59" s="1">
        <v>0.169617894</v>
      </c>
      <c r="I59" s="1">
        <v>28</v>
      </c>
      <c r="P59" s="1">
        <v>2.4</v>
      </c>
      <c r="X59" s="1">
        <v>200</v>
      </c>
      <c r="AJ59" s="1">
        <v>0.785</v>
      </c>
      <c r="AM59" s="1">
        <v>150</v>
      </c>
      <c r="AO59" s="1">
        <v>3</v>
      </c>
      <c r="AQ59" s="1">
        <v>583.242772</v>
      </c>
      <c r="AS59" s="9">
        <v>1000</v>
      </c>
      <c r="AT59" s="10">
        <v>33</v>
      </c>
    </row>
    <row r="60" spans="1:46">
      <c r="A60" s="1">
        <v>0.169617894</v>
      </c>
      <c r="I60" s="1">
        <v>28</v>
      </c>
      <c r="P60" s="1">
        <v>2.4</v>
      </c>
      <c r="X60" s="1">
        <v>200</v>
      </c>
      <c r="AJ60" s="1">
        <v>0.785</v>
      </c>
      <c r="AM60" s="1">
        <v>150</v>
      </c>
      <c r="AO60" s="1">
        <v>3</v>
      </c>
      <c r="AQ60" s="1">
        <v>583.242772</v>
      </c>
      <c r="AS60" s="9">
        <v>1100</v>
      </c>
      <c r="AT60" s="10">
        <v>0</v>
      </c>
    </row>
    <row r="61" spans="1:46">
      <c r="A61" s="1">
        <v>0.169617894</v>
      </c>
      <c r="I61" s="1">
        <v>28</v>
      </c>
      <c r="P61" s="1">
        <v>2.4</v>
      </c>
      <c r="X61" s="1">
        <v>200</v>
      </c>
      <c r="AJ61" s="1">
        <v>0.785</v>
      </c>
      <c r="AM61" s="1">
        <v>150</v>
      </c>
      <c r="AO61" s="1">
        <v>3</v>
      </c>
      <c r="AQ61" s="1">
        <v>583.242772</v>
      </c>
      <c r="AS61" s="9">
        <v>1200</v>
      </c>
      <c r="AT61" s="10">
        <v>13</v>
      </c>
    </row>
    <row r="62" spans="1:46">
      <c r="A62" s="1">
        <v>0.169617894</v>
      </c>
      <c r="I62" s="1">
        <v>28</v>
      </c>
      <c r="P62" s="1">
        <v>2.4</v>
      </c>
      <c r="X62" s="1">
        <v>200</v>
      </c>
      <c r="AJ62" s="1">
        <v>0.785</v>
      </c>
      <c r="AM62" s="1">
        <v>150</v>
      </c>
      <c r="AO62" s="1">
        <v>3</v>
      </c>
      <c r="AQ62" s="1">
        <v>583.242772</v>
      </c>
      <c r="AS62" s="9">
        <v>1300</v>
      </c>
      <c r="AT62" s="10">
        <v>0</v>
      </c>
    </row>
    <row r="63" ht="14.55" spans="1:46">
      <c r="A63" s="1">
        <v>0.169617894</v>
      </c>
      <c r="I63" s="1">
        <v>28</v>
      </c>
      <c r="P63" s="1">
        <v>2.4</v>
      </c>
      <c r="X63" s="1">
        <v>200</v>
      </c>
      <c r="AJ63" s="1">
        <v>0.785</v>
      </c>
      <c r="AM63" s="1">
        <v>150</v>
      </c>
      <c r="AO63" s="1">
        <v>3</v>
      </c>
      <c r="AQ63" s="1">
        <v>583.242772</v>
      </c>
      <c r="AS63" s="12" t="s">
        <v>27</v>
      </c>
      <c r="AT63" s="12">
        <v>0</v>
      </c>
    </row>
    <row r="64" spans="1:46">
      <c r="A64" s="1">
        <v>0.169617894</v>
      </c>
      <c r="I64" s="1">
        <v>28</v>
      </c>
      <c r="P64" s="1">
        <v>2.4</v>
      </c>
      <c r="X64" s="1">
        <v>200</v>
      </c>
      <c r="AJ64" s="1">
        <v>0.785</v>
      </c>
      <c r="AM64" s="1">
        <v>150</v>
      </c>
      <c r="AO64" s="1">
        <v>3</v>
      </c>
      <c r="AQ64" s="1">
        <v>583.242772</v>
      </c>
    </row>
    <row r="65" spans="1:43">
      <c r="A65" s="1">
        <v>0.169617894</v>
      </c>
      <c r="I65" s="1">
        <v>28</v>
      </c>
      <c r="P65" s="1">
        <v>2.4</v>
      </c>
      <c r="X65" s="1">
        <v>200</v>
      </c>
      <c r="AJ65" s="1">
        <v>0.785</v>
      </c>
      <c r="AM65" s="1">
        <v>150</v>
      </c>
      <c r="AO65" s="1">
        <v>3</v>
      </c>
      <c r="AQ65" s="1">
        <v>583.242772</v>
      </c>
    </row>
    <row r="66" spans="1:43">
      <c r="A66" s="1">
        <v>0.169617894</v>
      </c>
      <c r="I66" s="1">
        <v>28</v>
      </c>
      <c r="P66" s="1">
        <v>2.4</v>
      </c>
      <c r="X66" s="1">
        <v>200</v>
      </c>
      <c r="AJ66" s="1">
        <v>0.785</v>
      </c>
      <c r="AM66" s="1">
        <v>150</v>
      </c>
      <c r="AO66" s="1">
        <v>3</v>
      </c>
      <c r="AQ66" s="1">
        <v>583.242772</v>
      </c>
    </row>
    <row r="67" spans="1:43">
      <c r="A67" s="1">
        <v>0.169617894</v>
      </c>
      <c r="I67" s="1">
        <v>28</v>
      </c>
      <c r="P67" s="1">
        <v>2.4</v>
      </c>
      <c r="X67" s="1">
        <v>200</v>
      </c>
      <c r="AJ67" s="1">
        <v>0.785</v>
      </c>
      <c r="AM67" s="1">
        <v>150</v>
      </c>
      <c r="AO67" s="1">
        <v>3</v>
      </c>
      <c r="AQ67" s="1">
        <v>583.242772</v>
      </c>
    </row>
    <row r="68" spans="1:43">
      <c r="A68" s="1">
        <v>0.169617894</v>
      </c>
      <c r="I68" s="1">
        <v>28</v>
      </c>
      <c r="P68" s="1">
        <v>2.4</v>
      </c>
      <c r="X68" s="1">
        <v>200</v>
      </c>
      <c r="AJ68" s="1">
        <v>0.785</v>
      </c>
      <c r="AM68" s="1">
        <v>150</v>
      </c>
      <c r="AO68" s="1">
        <v>3</v>
      </c>
      <c r="AQ68" s="1">
        <v>583.242772</v>
      </c>
    </row>
    <row r="69" spans="1:43">
      <c r="A69" s="1">
        <v>0.169617894</v>
      </c>
      <c r="I69" s="1">
        <v>28</v>
      </c>
      <c r="P69" s="1">
        <v>2.4</v>
      </c>
      <c r="X69" s="1">
        <v>200</v>
      </c>
      <c r="AJ69" s="1">
        <v>0.785</v>
      </c>
      <c r="AM69" s="1">
        <v>150</v>
      </c>
      <c r="AO69" s="1">
        <v>3</v>
      </c>
      <c r="AQ69" s="1">
        <v>583.242772</v>
      </c>
    </row>
    <row r="70" spans="1:43">
      <c r="A70" s="1">
        <v>0.169617894</v>
      </c>
      <c r="I70" s="1">
        <v>28</v>
      </c>
      <c r="P70" s="1">
        <v>2.4</v>
      </c>
      <c r="X70" s="1">
        <v>200</v>
      </c>
      <c r="AJ70" s="1">
        <v>0.785</v>
      </c>
      <c r="AM70" s="1">
        <v>150</v>
      </c>
      <c r="AO70" s="1">
        <v>3</v>
      </c>
      <c r="AQ70" s="1">
        <v>583.242772</v>
      </c>
    </row>
    <row r="71" spans="1:43">
      <c r="A71" s="1">
        <v>0.169617894</v>
      </c>
      <c r="I71" s="1">
        <v>28</v>
      </c>
      <c r="P71" s="1">
        <v>2.4</v>
      </c>
      <c r="X71" s="1">
        <v>200</v>
      </c>
      <c r="AJ71" s="1">
        <v>0.785</v>
      </c>
      <c r="AM71" s="1">
        <v>150</v>
      </c>
      <c r="AO71" s="1">
        <v>3</v>
      </c>
      <c r="AQ71" s="1">
        <v>583.242772</v>
      </c>
    </row>
    <row r="72" spans="1:43">
      <c r="A72" s="1">
        <v>0.169617894</v>
      </c>
      <c r="I72" s="1">
        <v>28</v>
      </c>
      <c r="P72" s="1">
        <v>2.4</v>
      </c>
      <c r="X72" s="1">
        <v>200</v>
      </c>
      <c r="AJ72" s="1">
        <v>0.785</v>
      </c>
      <c r="AM72" s="1">
        <v>150</v>
      </c>
      <c r="AO72" s="1">
        <v>3</v>
      </c>
      <c r="AQ72" s="1">
        <v>583.242772</v>
      </c>
    </row>
    <row r="73" spans="1:43">
      <c r="A73" s="1">
        <v>0.169617894</v>
      </c>
      <c r="I73" s="1">
        <v>28</v>
      </c>
      <c r="P73" s="1">
        <v>2.4</v>
      </c>
      <c r="X73" s="1">
        <v>200</v>
      </c>
      <c r="AJ73" s="1">
        <v>0.785</v>
      </c>
      <c r="AM73" s="1">
        <v>150</v>
      </c>
      <c r="AO73" s="1">
        <v>3</v>
      </c>
      <c r="AQ73" s="1">
        <v>583.242772</v>
      </c>
    </row>
    <row r="74" spans="1:43">
      <c r="A74" s="1">
        <v>0.169617894</v>
      </c>
      <c r="I74" s="1">
        <v>28</v>
      </c>
      <c r="P74" s="1">
        <v>2.4</v>
      </c>
      <c r="X74" s="1">
        <v>200</v>
      </c>
      <c r="AJ74" s="1">
        <v>0.785</v>
      </c>
      <c r="AM74" s="1">
        <v>150</v>
      </c>
      <c r="AO74" s="1">
        <v>3</v>
      </c>
      <c r="AQ74" s="1">
        <v>583.242772</v>
      </c>
    </row>
    <row r="75" spans="1:43">
      <c r="A75" s="1">
        <v>0.169617894</v>
      </c>
      <c r="I75" s="1">
        <v>28</v>
      </c>
      <c r="P75" s="1">
        <v>2.4</v>
      </c>
      <c r="X75" s="1">
        <v>200</v>
      </c>
      <c r="AJ75" s="1">
        <v>0.785</v>
      </c>
      <c r="AM75" s="1">
        <v>150</v>
      </c>
      <c r="AO75" s="1">
        <v>3</v>
      </c>
      <c r="AQ75" s="1">
        <v>583.242772</v>
      </c>
    </row>
    <row r="76" spans="1:43">
      <c r="A76" s="1">
        <v>0.169617894</v>
      </c>
      <c r="I76" s="1">
        <v>28</v>
      </c>
      <c r="P76" s="1">
        <v>2.4</v>
      </c>
      <c r="X76" s="1">
        <v>200</v>
      </c>
      <c r="AJ76" s="1">
        <v>0.785</v>
      </c>
      <c r="AM76" s="1">
        <v>150</v>
      </c>
      <c r="AO76" s="1">
        <v>3</v>
      </c>
      <c r="AQ76" s="1">
        <v>583.242772</v>
      </c>
    </row>
    <row r="77" spans="1:43">
      <c r="A77" s="1">
        <v>0.169617894</v>
      </c>
      <c r="I77" s="1">
        <v>28</v>
      </c>
      <c r="P77" s="1">
        <v>2.4</v>
      </c>
      <c r="X77" s="1">
        <v>200</v>
      </c>
      <c r="AJ77" s="1">
        <v>0.785</v>
      </c>
      <c r="AM77" s="1">
        <v>150</v>
      </c>
      <c r="AO77" s="1">
        <v>3</v>
      </c>
      <c r="AQ77" s="1">
        <v>583.242772</v>
      </c>
    </row>
    <row r="78" spans="1:43">
      <c r="A78" s="1">
        <v>0.169617894</v>
      </c>
      <c r="I78" s="1">
        <v>28</v>
      </c>
      <c r="P78" s="1">
        <v>2.4</v>
      </c>
      <c r="X78" s="1">
        <v>200</v>
      </c>
      <c r="AJ78" s="1">
        <v>0.785</v>
      </c>
      <c r="AM78" s="1">
        <v>150</v>
      </c>
      <c r="AO78" s="1">
        <v>3</v>
      </c>
      <c r="AQ78" s="1">
        <v>583.242772</v>
      </c>
    </row>
    <row r="79" spans="1:43">
      <c r="A79" s="1">
        <v>0.169617894</v>
      </c>
      <c r="I79" s="1">
        <v>28</v>
      </c>
      <c r="P79" s="1">
        <v>2.4</v>
      </c>
      <c r="X79" s="1">
        <v>200</v>
      </c>
      <c r="AJ79" s="1">
        <v>0.785</v>
      </c>
      <c r="AM79" s="1">
        <v>150</v>
      </c>
      <c r="AO79" s="1">
        <v>3</v>
      </c>
      <c r="AQ79" s="1">
        <v>583.242772</v>
      </c>
    </row>
    <row r="80" spans="1:43">
      <c r="A80" s="1">
        <v>0.169617894</v>
      </c>
      <c r="I80" s="1">
        <v>28</v>
      </c>
      <c r="P80" s="1">
        <v>2.4</v>
      </c>
      <c r="X80" s="1">
        <v>200</v>
      </c>
      <c r="AJ80" s="1">
        <v>0.785</v>
      </c>
      <c r="AM80" s="1">
        <v>150</v>
      </c>
      <c r="AO80" s="1">
        <v>3</v>
      </c>
      <c r="AQ80" s="1">
        <v>583.242772</v>
      </c>
    </row>
    <row r="81" spans="1:43">
      <c r="A81" s="1">
        <v>0.169617894</v>
      </c>
      <c r="I81" s="1">
        <v>28</v>
      </c>
      <c r="P81" s="1">
        <v>2.4</v>
      </c>
      <c r="X81" s="1">
        <v>200</v>
      </c>
      <c r="AJ81" s="1">
        <v>0.785</v>
      </c>
      <c r="AM81" s="1">
        <v>150</v>
      </c>
      <c r="AO81" s="1">
        <v>3</v>
      </c>
      <c r="AQ81" s="1">
        <v>583.242772</v>
      </c>
    </row>
    <row r="82" spans="1:43">
      <c r="A82" s="1">
        <v>0.169617894</v>
      </c>
      <c r="I82" s="1">
        <v>28</v>
      </c>
      <c r="P82" s="1">
        <v>2.4</v>
      </c>
      <c r="X82" s="1">
        <v>200</v>
      </c>
      <c r="AJ82" s="1">
        <v>0.785</v>
      </c>
      <c r="AM82" s="1">
        <v>150</v>
      </c>
      <c r="AO82" s="1">
        <v>3</v>
      </c>
      <c r="AQ82" s="1">
        <v>583.242772</v>
      </c>
    </row>
    <row r="83" spans="1:43">
      <c r="A83" s="1">
        <v>0.169617894</v>
      </c>
      <c r="I83" s="1">
        <v>28</v>
      </c>
      <c r="P83" s="1">
        <v>2.4</v>
      </c>
      <c r="X83" s="1">
        <v>200</v>
      </c>
      <c r="AJ83" s="1">
        <v>0.785</v>
      </c>
      <c r="AM83" s="1">
        <v>150</v>
      </c>
      <c r="AO83" s="1">
        <v>3</v>
      </c>
      <c r="AQ83" s="1">
        <v>583.242772</v>
      </c>
    </row>
    <row r="84" spans="1:43">
      <c r="A84" s="1">
        <v>0.169617894</v>
      </c>
      <c r="I84" s="1">
        <v>28</v>
      </c>
      <c r="P84" s="1">
        <v>2.4</v>
      </c>
      <c r="X84" s="1">
        <v>200</v>
      </c>
      <c r="AJ84" s="1">
        <v>0.785</v>
      </c>
      <c r="AM84" s="1">
        <v>150</v>
      </c>
      <c r="AO84" s="1">
        <v>3</v>
      </c>
      <c r="AQ84" s="1">
        <v>583.242772</v>
      </c>
    </row>
    <row r="85" spans="1:43">
      <c r="A85" s="1">
        <v>0.169617894</v>
      </c>
      <c r="I85" s="1">
        <v>28</v>
      </c>
      <c r="P85" s="1">
        <v>2.4</v>
      </c>
      <c r="X85" s="1">
        <v>200</v>
      </c>
      <c r="AJ85" s="1">
        <v>0.785</v>
      </c>
      <c r="AM85" s="1">
        <v>150</v>
      </c>
      <c r="AO85" s="1">
        <v>3</v>
      </c>
      <c r="AQ85" s="1">
        <v>583.242772</v>
      </c>
    </row>
    <row r="86" spans="1:43">
      <c r="A86" s="1">
        <v>0.169617894</v>
      </c>
      <c r="I86" s="1">
        <v>28</v>
      </c>
      <c r="P86" s="1">
        <v>2.4</v>
      </c>
      <c r="X86" s="1">
        <v>200</v>
      </c>
      <c r="AJ86" s="1">
        <v>0.785</v>
      </c>
      <c r="AM86" s="1">
        <v>150</v>
      </c>
      <c r="AO86" s="1">
        <v>3</v>
      </c>
      <c r="AQ86" s="1">
        <v>583.242772</v>
      </c>
    </row>
    <row r="87" spans="1:43">
      <c r="A87" s="1">
        <v>0.169617894</v>
      </c>
      <c r="I87" s="1">
        <v>28</v>
      </c>
      <c r="P87" s="1">
        <v>2.4</v>
      </c>
      <c r="X87" s="1">
        <v>200</v>
      </c>
      <c r="AJ87" s="1">
        <v>0.785</v>
      </c>
      <c r="AM87" s="1">
        <v>150</v>
      </c>
      <c r="AO87" s="1">
        <v>3</v>
      </c>
      <c r="AQ87" s="1">
        <v>583.242772</v>
      </c>
    </row>
    <row r="88" spans="1:43">
      <c r="A88" s="1">
        <v>0.169617894</v>
      </c>
      <c r="I88" s="1">
        <v>28</v>
      </c>
      <c r="P88" s="1">
        <v>2.4</v>
      </c>
      <c r="X88" s="1">
        <v>200</v>
      </c>
      <c r="AJ88" s="1">
        <v>0.785</v>
      </c>
      <c r="AM88" s="1">
        <v>150</v>
      </c>
      <c r="AO88" s="1">
        <v>3</v>
      </c>
      <c r="AQ88" s="1">
        <v>583.242772</v>
      </c>
    </row>
    <row r="89" spans="1:43">
      <c r="A89" s="1">
        <v>0.169617894</v>
      </c>
      <c r="I89" s="1">
        <v>28</v>
      </c>
      <c r="P89" s="1">
        <v>2.4</v>
      </c>
      <c r="X89" s="1">
        <v>200</v>
      </c>
      <c r="AJ89" s="1">
        <v>0.785</v>
      </c>
      <c r="AM89" s="1">
        <v>150</v>
      </c>
      <c r="AO89" s="1">
        <v>3</v>
      </c>
      <c r="AQ89" s="1">
        <v>583.242772</v>
      </c>
    </row>
    <row r="90" spans="1:43">
      <c r="A90" s="1">
        <v>0.169617894</v>
      </c>
      <c r="I90" s="1">
        <v>28</v>
      </c>
      <c r="P90" s="1">
        <v>2.4</v>
      </c>
      <c r="X90" s="1">
        <v>200</v>
      </c>
      <c r="AJ90" s="1">
        <v>0.785</v>
      </c>
      <c r="AM90" s="1">
        <v>150</v>
      </c>
      <c r="AO90" s="1">
        <v>3</v>
      </c>
      <c r="AQ90" s="1">
        <v>583.242772</v>
      </c>
    </row>
    <row r="91" spans="1:43">
      <c r="A91" s="1">
        <v>0.169617894</v>
      </c>
      <c r="I91" s="1">
        <v>28</v>
      </c>
      <c r="P91" s="1">
        <v>2.4</v>
      </c>
      <c r="X91" s="1">
        <v>200</v>
      </c>
      <c r="AJ91" s="1">
        <v>0.785</v>
      </c>
      <c r="AM91" s="1">
        <v>300</v>
      </c>
      <c r="AO91" s="1">
        <v>6</v>
      </c>
      <c r="AQ91" s="1">
        <v>583.242772</v>
      </c>
    </row>
    <row r="92" spans="1:43">
      <c r="A92" s="1">
        <v>0.169617894</v>
      </c>
      <c r="I92" s="1">
        <v>28</v>
      </c>
      <c r="P92" s="1">
        <v>2.4</v>
      </c>
      <c r="X92" s="1">
        <v>200</v>
      </c>
      <c r="AJ92" s="1">
        <v>0.785</v>
      </c>
      <c r="AM92" s="1">
        <v>300</v>
      </c>
      <c r="AO92" s="1">
        <v>6</v>
      </c>
      <c r="AQ92" s="1">
        <v>583.242772</v>
      </c>
    </row>
    <row r="93" spans="1:43">
      <c r="A93" s="1">
        <v>0.169617894</v>
      </c>
      <c r="I93" s="1">
        <v>28</v>
      </c>
      <c r="P93" s="1">
        <v>2.4</v>
      </c>
      <c r="X93" s="1">
        <v>200</v>
      </c>
      <c r="AJ93" s="1">
        <v>0.785</v>
      </c>
      <c r="AM93" s="1">
        <v>300</v>
      </c>
      <c r="AO93" s="1">
        <v>6</v>
      </c>
      <c r="AQ93" s="1">
        <v>583.242772</v>
      </c>
    </row>
    <row r="94" spans="1:43">
      <c r="A94" s="1">
        <v>0.169617894</v>
      </c>
      <c r="I94" s="1">
        <v>28</v>
      </c>
      <c r="P94" s="1">
        <v>2.4</v>
      </c>
      <c r="X94" s="1">
        <v>200</v>
      </c>
      <c r="AJ94" s="1">
        <v>0.785</v>
      </c>
      <c r="AM94" s="1">
        <v>300</v>
      </c>
      <c r="AO94" s="1">
        <v>6</v>
      </c>
      <c r="AQ94" s="1">
        <v>583.242772</v>
      </c>
    </row>
    <row r="95" spans="1:43">
      <c r="A95" s="1">
        <v>0.169617894</v>
      </c>
      <c r="I95" s="1">
        <v>28</v>
      </c>
      <c r="P95" s="1">
        <v>2.4</v>
      </c>
      <c r="X95" s="1">
        <v>200</v>
      </c>
      <c r="AJ95" s="1">
        <v>0.785</v>
      </c>
      <c r="AM95" s="1">
        <v>300</v>
      </c>
      <c r="AO95" s="1">
        <v>6</v>
      </c>
      <c r="AQ95" s="1">
        <v>583.242772</v>
      </c>
    </row>
    <row r="96" spans="1:43">
      <c r="A96" s="1">
        <v>0.169617894</v>
      </c>
      <c r="I96" s="1">
        <v>28</v>
      </c>
      <c r="P96" s="1">
        <v>2.4</v>
      </c>
      <c r="X96" s="1">
        <v>200</v>
      </c>
      <c r="AJ96" s="1">
        <v>0.785</v>
      </c>
      <c r="AM96" s="1">
        <v>300</v>
      </c>
      <c r="AO96" s="1">
        <v>6</v>
      </c>
      <c r="AQ96" s="1">
        <v>583.242772</v>
      </c>
    </row>
    <row r="97" spans="1:43">
      <c r="A97" s="1">
        <v>0.169617894</v>
      </c>
      <c r="I97" s="1">
        <v>28</v>
      </c>
      <c r="P97" s="1">
        <v>2.4</v>
      </c>
      <c r="X97" s="1">
        <v>200</v>
      </c>
      <c r="AJ97" s="1">
        <v>0.785</v>
      </c>
      <c r="AM97" s="1">
        <v>300</v>
      </c>
      <c r="AO97" s="1">
        <v>6</v>
      </c>
      <c r="AQ97" s="1">
        <v>583.242772</v>
      </c>
    </row>
    <row r="98" spans="1:43">
      <c r="A98" s="1">
        <v>0.169617894</v>
      </c>
      <c r="I98" s="1">
        <v>28</v>
      </c>
      <c r="P98" s="1">
        <v>2.4</v>
      </c>
      <c r="X98" s="1">
        <v>200</v>
      </c>
      <c r="AJ98" s="1">
        <v>0.785</v>
      </c>
      <c r="AM98" s="1">
        <v>300</v>
      </c>
      <c r="AO98" s="1">
        <v>6</v>
      </c>
      <c r="AQ98" s="1">
        <v>583.242772</v>
      </c>
    </row>
    <row r="99" spans="1:43">
      <c r="A99" s="1">
        <v>0.169617894</v>
      </c>
      <c r="I99" s="1">
        <v>28</v>
      </c>
      <c r="P99" s="1">
        <v>2.4</v>
      </c>
      <c r="X99" s="1">
        <v>200</v>
      </c>
      <c r="AJ99" s="1">
        <v>0.785</v>
      </c>
      <c r="AM99" s="1">
        <v>300</v>
      </c>
      <c r="AO99" s="1">
        <v>6</v>
      </c>
      <c r="AQ99" s="1">
        <v>583.242772</v>
      </c>
    </row>
    <row r="100" spans="1:43">
      <c r="A100" s="1">
        <v>0.169617894</v>
      </c>
      <c r="I100" s="1">
        <v>28</v>
      </c>
      <c r="P100" s="1">
        <v>2.4</v>
      </c>
      <c r="X100" s="1">
        <v>200</v>
      </c>
      <c r="AJ100" s="1">
        <v>0.785</v>
      </c>
      <c r="AM100" s="1">
        <v>300</v>
      </c>
      <c r="AO100" s="1">
        <v>6</v>
      </c>
      <c r="AQ100" s="1">
        <v>583.242772</v>
      </c>
    </row>
    <row r="101" spans="1:43">
      <c r="A101" s="1">
        <v>0.169617894</v>
      </c>
      <c r="I101" s="1">
        <v>28</v>
      </c>
      <c r="P101" s="1">
        <v>2.4</v>
      </c>
      <c r="X101" s="1">
        <v>200</v>
      </c>
      <c r="AJ101" s="1">
        <v>0.785</v>
      </c>
      <c r="AM101" s="1">
        <v>300</v>
      </c>
      <c r="AO101" s="1">
        <v>6</v>
      </c>
      <c r="AQ101" s="1">
        <v>583.242772</v>
      </c>
    </row>
    <row r="102" spans="1:43">
      <c r="A102" s="1">
        <v>0.169617894</v>
      </c>
      <c r="I102" s="1">
        <v>28</v>
      </c>
      <c r="P102" s="1">
        <v>2.4</v>
      </c>
      <c r="X102" s="1">
        <v>200</v>
      </c>
      <c r="AJ102" s="1">
        <v>0.785</v>
      </c>
      <c r="AM102" s="1">
        <v>300</v>
      </c>
      <c r="AO102" s="1">
        <v>6</v>
      </c>
      <c r="AQ102" s="1">
        <v>583.242772</v>
      </c>
    </row>
    <row r="103" spans="1:43">
      <c r="A103" s="1">
        <v>0.169617894</v>
      </c>
      <c r="I103" s="1">
        <v>28</v>
      </c>
      <c r="P103" s="1">
        <v>2.4</v>
      </c>
      <c r="X103" s="1">
        <v>200</v>
      </c>
      <c r="AJ103" s="1">
        <v>0.785</v>
      </c>
      <c r="AM103" s="1">
        <v>300</v>
      </c>
      <c r="AO103" s="1">
        <v>6</v>
      </c>
      <c r="AQ103" s="1">
        <v>583.242772</v>
      </c>
    </row>
    <row r="104" spans="1:43">
      <c r="A104" s="1">
        <v>0.169617894</v>
      </c>
      <c r="I104" s="1">
        <v>28</v>
      </c>
      <c r="P104" s="1">
        <v>2.4</v>
      </c>
      <c r="X104" s="1">
        <v>200</v>
      </c>
      <c r="AJ104" s="1">
        <v>0.785</v>
      </c>
      <c r="AM104" s="1">
        <v>300</v>
      </c>
      <c r="AO104" s="1">
        <v>6</v>
      </c>
      <c r="AQ104" s="1">
        <v>583.242772</v>
      </c>
    </row>
    <row r="105" spans="1:43">
      <c r="A105" s="1">
        <v>0.169617894</v>
      </c>
      <c r="I105" s="1">
        <v>28</v>
      </c>
      <c r="P105" s="1">
        <v>2.4</v>
      </c>
      <c r="X105" s="1">
        <v>200</v>
      </c>
      <c r="AJ105" s="1">
        <v>0.785</v>
      </c>
      <c r="AM105" s="1">
        <v>300</v>
      </c>
      <c r="AO105" s="1">
        <v>6</v>
      </c>
      <c r="AQ105" s="1">
        <v>583.242772</v>
      </c>
    </row>
    <row r="106" spans="1:43">
      <c r="A106" s="1">
        <v>0.169617894</v>
      </c>
      <c r="I106" s="1">
        <v>28</v>
      </c>
      <c r="P106" s="1">
        <v>2.4</v>
      </c>
      <c r="X106" s="1">
        <v>200</v>
      </c>
      <c r="AJ106" s="1">
        <v>0.785</v>
      </c>
      <c r="AM106" s="1">
        <v>300</v>
      </c>
      <c r="AO106" s="1">
        <v>6</v>
      </c>
      <c r="AQ106" s="1">
        <v>583.242772</v>
      </c>
    </row>
    <row r="107" spans="1:43">
      <c r="A107" s="1">
        <v>0.169617894</v>
      </c>
      <c r="I107" s="1">
        <v>28</v>
      </c>
      <c r="P107" s="1">
        <v>2.4</v>
      </c>
      <c r="X107" s="1">
        <v>200</v>
      </c>
      <c r="AJ107" s="1">
        <v>0.785</v>
      </c>
      <c r="AM107" s="1">
        <v>300</v>
      </c>
      <c r="AO107" s="1">
        <v>6</v>
      </c>
      <c r="AQ107" s="1">
        <v>583.242772</v>
      </c>
    </row>
    <row r="108" spans="1:43">
      <c r="A108" s="1">
        <v>0.169617894</v>
      </c>
      <c r="I108" s="1">
        <v>28</v>
      </c>
      <c r="P108" s="1">
        <v>2.4</v>
      </c>
      <c r="X108" s="1">
        <v>200</v>
      </c>
      <c r="AJ108" s="1">
        <v>0.785</v>
      </c>
      <c r="AM108" s="1">
        <v>300</v>
      </c>
      <c r="AO108" s="1">
        <v>6</v>
      </c>
      <c r="AQ108" s="1">
        <v>583.242772</v>
      </c>
    </row>
    <row r="109" spans="1:43">
      <c r="A109" s="1">
        <v>0.169617894</v>
      </c>
      <c r="I109" s="1">
        <v>28</v>
      </c>
      <c r="P109" s="1">
        <v>2.4</v>
      </c>
      <c r="X109" s="1">
        <v>200</v>
      </c>
      <c r="AJ109" s="1">
        <v>0.785</v>
      </c>
      <c r="AM109" s="1">
        <v>300</v>
      </c>
      <c r="AO109" s="1">
        <v>6</v>
      </c>
      <c r="AQ109" s="1">
        <v>583.242772</v>
      </c>
    </row>
    <row r="110" spans="1:43">
      <c r="A110" s="1">
        <v>0.169617894</v>
      </c>
      <c r="I110" s="1">
        <v>28</v>
      </c>
      <c r="P110" s="1">
        <v>2.4</v>
      </c>
      <c r="X110" s="1">
        <v>200</v>
      </c>
      <c r="AJ110" s="1">
        <v>0.785</v>
      </c>
      <c r="AM110" s="1">
        <v>300</v>
      </c>
      <c r="AO110" s="1">
        <v>6</v>
      </c>
      <c r="AQ110" s="1">
        <v>583.242772</v>
      </c>
    </row>
    <row r="111" spans="1:43">
      <c r="A111" s="1">
        <v>0.169617894</v>
      </c>
      <c r="I111" s="1">
        <v>28</v>
      </c>
      <c r="P111" s="1">
        <v>2.4</v>
      </c>
      <c r="X111" s="1">
        <v>200</v>
      </c>
      <c r="AJ111" s="1">
        <v>0.785</v>
      </c>
      <c r="AM111" s="1">
        <v>300</v>
      </c>
      <c r="AO111" s="1">
        <v>6</v>
      </c>
      <c r="AQ111" s="1">
        <v>583.242772</v>
      </c>
    </row>
    <row r="112" spans="1:43">
      <c r="A112" s="1">
        <v>0.169617894</v>
      </c>
      <c r="I112" s="1">
        <v>28</v>
      </c>
      <c r="P112" s="1">
        <v>2.4</v>
      </c>
      <c r="X112" s="1">
        <v>200</v>
      </c>
      <c r="AJ112" s="1">
        <v>0.785</v>
      </c>
      <c r="AM112" s="1">
        <v>300</v>
      </c>
      <c r="AO112" s="1">
        <v>6</v>
      </c>
      <c r="AQ112" s="1">
        <v>583.242772</v>
      </c>
    </row>
    <row r="113" spans="1:43">
      <c r="A113" s="1">
        <v>0.169617894</v>
      </c>
      <c r="I113" s="1">
        <v>28</v>
      </c>
      <c r="P113" s="1">
        <v>2.4</v>
      </c>
      <c r="X113" s="1">
        <v>200</v>
      </c>
      <c r="AJ113" s="1">
        <v>0.785</v>
      </c>
      <c r="AM113" s="1">
        <v>300</v>
      </c>
      <c r="AO113" s="1">
        <v>6</v>
      </c>
      <c r="AQ113" s="1">
        <v>583.242772</v>
      </c>
    </row>
    <row r="114" spans="1:43">
      <c r="A114" s="1">
        <v>0.169617894</v>
      </c>
      <c r="I114" s="1">
        <v>28</v>
      </c>
      <c r="P114" s="1">
        <v>2.4</v>
      </c>
      <c r="X114" s="1">
        <v>200</v>
      </c>
      <c r="AJ114" s="1">
        <v>0.785</v>
      </c>
      <c r="AM114" s="1">
        <v>300</v>
      </c>
      <c r="AO114" s="1">
        <v>6</v>
      </c>
      <c r="AQ114" s="1">
        <v>583.242772</v>
      </c>
    </row>
    <row r="115" spans="1:43">
      <c r="A115" s="1">
        <v>0.169617894</v>
      </c>
      <c r="I115" s="1">
        <v>28</v>
      </c>
      <c r="P115" s="1">
        <v>2.4</v>
      </c>
      <c r="X115" s="1">
        <v>200</v>
      </c>
      <c r="AJ115" s="1">
        <v>0.785</v>
      </c>
      <c r="AM115" s="1">
        <v>300</v>
      </c>
      <c r="AO115" s="1">
        <v>6</v>
      </c>
      <c r="AQ115" s="1">
        <v>583.242772</v>
      </c>
    </row>
    <row r="116" spans="1:43">
      <c r="A116" s="1">
        <v>0.169617894</v>
      </c>
      <c r="I116" s="1">
        <v>28</v>
      </c>
      <c r="P116" s="1">
        <v>2.4</v>
      </c>
      <c r="X116" s="1">
        <v>200</v>
      </c>
      <c r="AJ116" s="1">
        <v>0.785</v>
      </c>
      <c r="AM116" s="1">
        <v>300</v>
      </c>
      <c r="AO116" s="1">
        <v>6</v>
      </c>
      <c r="AQ116" s="1">
        <v>583.242772</v>
      </c>
    </row>
    <row r="117" spans="1:43">
      <c r="A117" s="1">
        <v>0.169617894</v>
      </c>
      <c r="I117" s="1">
        <v>28</v>
      </c>
      <c r="P117" s="1">
        <v>2.4</v>
      </c>
      <c r="X117" s="1">
        <v>200</v>
      </c>
      <c r="AJ117" s="1">
        <v>0.785</v>
      </c>
      <c r="AM117" s="1">
        <v>300</v>
      </c>
      <c r="AO117" s="1">
        <v>6</v>
      </c>
      <c r="AQ117" s="1">
        <v>583.242772</v>
      </c>
    </row>
    <row r="118" spans="1:43">
      <c r="A118" s="1">
        <v>0.169617894</v>
      </c>
      <c r="I118" s="1">
        <v>28</v>
      </c>
      <c r="P118" s="1">
        <v>2.4</v>
      </c>
      <c r="X118" s="1">
        <v>200</v>
      </c>
      <c r="AJ118" s="1">
        <v>0.785</v>
      </c>
      <c r="AM118" s="1">
        <v>300</v>
      </c>
      <c r="AO118" s="1">
        <v>6</v>
      </c>
      <c r="AQ118" s="1">
        <v>583.242772</v>
      </c>
    </row>
    <row r="119" spans="1:43">
      <c r="A119" s="1">
        <v>0.169617894</v>
      </c>
      <c r="I119" s="1">
        <v>28</v>
      </c>
      <c r="P119" s="1">
        <v>2.4</v>
      </c>
      <c r="X119" s="1">
        <v>200</v>
      </c>
      <c r="AJ119" s="1">
        <v>0.785</v>
      </c>
      <c r="AM119" s="1">
        <v>300</v>
      </c>
      <c r="AO119" s="1">
        <v>6</v>
      </c>
      <c r="AQ119" s="1">
        <v>583.242772</v>
      </c>
    </row>
    <row r="120" spans="1:43">
      <c r="A120" s="1">
        <v>0.169617894</v>
      </c>
      <c r="I120" s="1">
        <v>28</v>
      </c>
      <c r="P120" s="1">
        <v>2.4</v>
      </c>
      <c r="X120" s="1">
        <v>200</v>
      </c>
      <c r="AJ120" s="1">
        <v>0.785</v>
      </c>
      <c r="AM120" s="1">
        <v>300</v>
      </c>
      <c r="AO120" s="1">
        <v>6</v>
      </c>
      <c r="AQ120" s="1">
        <v>583.242772</v>
      </c>
    </row>
    <row r="121" spans="1:43">
      <c r="A121" s="1">
        <v>0.169617894</v>
      </c>
      <c r="I121" s="1">
        <v>28</v>
      </c>
      <c r="P121" s="1">
        <v>2.4</v>
      </c>
      <c r="X121" s="1">
        <v>200</v>
      </c>
      <c r="AJ121" s="1">
        <v>0.785</v>
      </c>
      <c r="AM121" s="1">
        <v>300</v>
      </c>
      <c r="AO121" s="1">
        <v>6</v>
      </c>
      <c r="AQ121" s="1">
        <v>583.242772</v>
      </c>
    </row>
    <row r="122" spans="1:43">
      <c r="A122" s="1">
        <v>0.169617894</v>
      </c>
      <c r="I122" s="1">
        <v>28</v>
      </c>
      <c r="P122" s="1">
        <v>2.4</v>
      </c>
      <c r="X122" s="1">
        <v>200</v>
      </c>
      <c r="AJ122" s="1">
        <v>0.785</v>
      </c>
      <c r="AM122" s="1">
        <v>300</v>
      </c>
      <c r="AO122" s="1">
        <v>6</v>
      </c>
      <c r="AQ122" s="1">
        <v>583.242772</v>
      </c>
    </row>
    <row r="123" spans="1:43">
      <c r="A123" s="1">
        <v>0.169617894</v>
      </c>
      <c r="I123" s="1">
        <v>28</v>
      </c>
      <c r="P123" s="1">
        <v>2.4</v>
      </c>
      <c r="X123" s="1">
        <v>200</v>
      </c>
      <c r="AJ123" s="1">
        <v>0.785</v>
      </c>
      <c r="AM123" s="1">
        <v>300</v>
      </c>
      <c r="AO123" s="1">
        <v>6</v>
      </c>
      <c r="AQ123" s="1">
        <v>583.242772</v>
      </c>
    </row>
    <row r="124" spans="1:43">
      <c r="A124" s="1">
        <v>0.169617894</v>
      </c>
      <c r="I124" s="1">
        <v>28</v>
      </c>
      <c r="P124" s="1">
        <v>2.4</v>
      </c>
      <c r="X124" s="1">
        <v>200</v>
      </c>
      <c r="AJ124" s="1">
        <v>0.785</v>
      </c>
      <c r="AM124" s="1">
        <v>300</v>
      </c>
      <c r="AO124" s="1">
        <v>6</v>
      </c>
      <c r="AQ124" s="1">
        <v>583.242772</v>
      </c>
    </row>
    <row r="125" spans="1:43">
      <c r="A125" s="1">
        <v>0.169617894</v>
      </c>
      <c r="I125" s="1">
        <v>28</v>
      </c>
      <c r="P125" s="1">
        <v>2.4</v>
      </c>
      <c r="X125" s="1">
        <v>200</v>
      </c>
      <c r="AJ125" s="1">
        <v>0.785</v>
      </c>
      <c r="AM125" s="1">
        <v>300</v>
      </c>
      <c r="AO125" s="1">
        <v>6</v>
      </c>
      <c r="AQ125" s="1">
        <v>583.242772</v>
      </c>
    </row>
    <row r="126" spans="1:43">
      <c r="A126" s="1">
        <v>0.169617894</v>
      </c>
      <c r="I126" s="1">
        <v>28</v>
      </c>
      <c r="P126" s="1">
        <v>2.4</v>
      </c>
      <c r="X126" s="1">
        <v>200</v>
      </c>
      <c r="AJ126" s="1">
        <v>0.785</v>
      </c>
      <c r="AM126" s="1">
        <v>300</v>
      </c>
      <c r="AO126" s="1">
        <v>6</v>
      </c>
      <c r="AQ126" s="1">
        <v>583.242772</v>
      </c>
    </row>
    <row r="127" spans="1:43">
      <c r="A127" s="1">
        <v>0.169617894</v>
      </c>
      <c r="I127" s="1">
        <v>28</v>
      </c>
      <c r="P127" s="1">
        <v>2.4</v>
      </c>
      <c r="X127" s="1">
        <v>200</v>
      </c>
      <c r="AJ127" s="1">
        <v>0.785</v>
      </c>
      <c r="AM127" s="1">
        <v>300</v>
      </c>
      <c r="AO127" s="1">
        <v>6</v>
      </c>
      <c r="AQ127" s="1">
        <v>583.242772</v>
      </c>
    </row>
    <row r="128" spans="1:43">
      <c r="A128" s="1">
        <v>0.169617894</v>
      </c>
      <c r="I128" s="1">
        <v>28</v>
      </c>
      <c r="P128" s="1">
        <v>2.4</v>
      </c>
      <c r="X128" s="1">
        <v>200</v>
      </c>
      <c r="AJ128" s="1">
        <v>0.785</v>
      </c>
      <c r="AM128" s="1">
        <v>300</v>
      </c>
      <c r="AO128" s="1">
        <v>6</v>
      </c>
      <c r="AQ128" s="1">
        <v>583.242772</v>
      </c>
    </row>
    <row r="129" spans="1:43">
      <c r="A129" s="1">
        <v>0.169617894</v>
      </c>
      <c r="I129" s="1">
        <v>28</v>
      </c>
      <c r="P129" s="1">
        <v>2.4</v>
      </c>
      <c r="X129" s="1">
        <v>200</v>
      </c>
      <c r="AJ129" s="1">
        <v>0.785</v>
      </c>
      <c r="AM129" s="1">
        <v>300</v>
      </c>
      <c r="AO129" s="1">
        <v>6</v>
      </c>
      <c r="AQ129" s="1">
        <v>583.242772</v>
      </c>
    </row>
    <row r="130" spans="1:43">
      <c r="A130" s="1">
        <v>0.169617894</v>
      </c>
      <c r="I130" s="1">
        <v>28</v>
      </c>
      <c r="P130" s="1">
        <v>2.4</v>
      </c>
      <c r="X130" s="1">
        <v>200</v>
      </c>
      <c r="AJ130" s="1">
        <v>0.785</v>
      </c>
      <c r="AM130" s="1">
        <v>300</v>
      </c>
      <c r="AO130" s="1">
        <v>6</v>
      </c>
      <c r="AQ130" s="1">
        <v>583.242772</v>
      </c>
    </row>
    <row r="131" spans="1:43">
      <c r="A131" s="1">
        <v>0.169617894</v>
      </c>
      <c r="I131" s="1">
        <v>28</v>
      </c>
      <c r="P131" s="1">
        <v>2.4</v>
      </c>
      <c r="X131" s="1">
        <v>200</v>
      </c>
      <c r="AJ131" s="1">
        <v>0.785</v>
      </c>
      <c r="AM131" s="1">
        <v>300</v>
      </c>
      <c r="AO131" s="1">
        <v>6</v>
      </c>
      <c r="AQ131" s="1">
        <v>583.242772</v>
      </c>
    </row>
    <row r="132" spans="1:43">
      <c r="A132" s="1">
        <v>0.169617894</v>
      </c>
      <c r="I132" s="1">
        <v>28</v>
      </c>
      <c r="P132" s="1">
        <v>2.4</v>
      </c>
      <c r="X132" s="1">
        <v>200</v>
      </c>
      <c r="AJ132" s="1">
        <v>0.785</v>
      </c>
      <c r="AM132" s="1">
        <v>300</v>
      </c>
      <c r="AO132" s="1">
        <v>6</v>
      </c>
      <c r="AQ132" s="1">
        <v>583.242772</v>
      </c>
    </row>
    <row r="133" spans="1:43">
      <c r="A133" s="1">
        <v>0.169617894</v>
      </c>
      <c r="I133" s="1">
        <v>28</v>
      </c>
      <c r="P133" s="1">
        <v>2.4</v>
      </c>
      <c r="X133" s="1">
        <v>200</v>
      </c>
      <c r="AJ133" s="1">
        <v>0.785</v>
      </c>
      <c r="AM133" s="1">
        <v>300</v>
      </c>
      <c r="AO133" s="1">
        <v>6</v>
      </c>
      <c r="AQ133" s="1">
        <v>583.242772</v>
      </c>
    </row>
    <row r="134" spans="1:43">
      <c r="A134" s="1">
        <v>0.169617894</v>
      </c>
      <c r="I134" s="1">
        <v>28</v>
      </c>
      <c r="P134" s="1">
        <v>2.4</v>
      </c>
      <c r="X134" s="1">
        <v>200</v>
      </c>
      <c r="AJ134" s="1">
        <v>0.785</v>
      </c>
      <c r="AM134" s="1">
        <v>300</v>
      </c>
      <c r="AO134" s="1">
        <v>6</v>
      </c>
      <c r="AQ134" s="1">
        <v>583.242772</v>
      </c>
    </row>
    <row r="135" spans="1:43">
      <c r="A135" s="1">
        <v>0.169617894</v>
      </c>
      <c r="I135" s="1">
        <v>28</v>
      </c>
      <c r="P135" s="1">
        <v>2.4</v>
      </c>
      <c r="X135" s="1">
        <v>200</v>
      </c>
      <c r="AJ135" s="1">
        <v>0.785</v>
      </c>
      <c r="AM135" s="1">
        <v>300</v>
      </c>
      <c r="AO135" s="1">
        <v>6</v>
      </c>
      <c r="AQ135" s="1">
        <v>583.242772</v>
      </c>
    </row>
    <row r="136" spans="1:43">
      <c r="A136" s="1">
        <v>0.240449438</v>
      </c>
      <c r="I136" s="1">
        <v>1</v>
      </c>
      <c r="P136" s="1">
        <v>1.6</v>
      </c>
      <c r="X136" s="1">
        <v>41</v>
      </c>
      <c r="AJ136" s="1">
        <v>1.3</v>
      </c>
      <c r="AM136" s="1">
        <v>205.1282051</v>
      </c>
      <c r="AO136" s="1">
        <v>8</v>
      </c>
      <c r="AQ136" s="1">
        <v>330.8205</v>
      </c>
    </row>
    <row r="137" spans="1:43">
      <c r="A137" s="1">
        <v>0.240449438</v>
      </c>
      <c r="I137" s="1">
        <v>1</v>
      </c>
      <c r="P137" s="1">
        <v>1.6</v>
      </c>
      <c r="X137" s="1">
        <v>41</v>
      </c>
      <c r="AJ137" s="1">
        <v>1.3</v>
      </c>
      <c r="AM137" s="1">
        <v>205.1282051</v>
      </c>
      <c r="AO137" s="1">
        <v>8</v>
      </c>
      <c r="AQ137" s="1">
        <v>330.8205</v>
      </c>
    </row>
    <row r="138" spans="1:43">
      <c r="A138" s="1">
        <v>0.240449438</v>
      </c>
      <c r="I138" s="1">
        <v>1</v>
      </c>
      <c r="P138" s="1">
        <v>1.6</v>
      </c>
      <c r="X138" s="1">
        <v>41</v>
      </c>
      <c r="AJ138" s="1">
        <v>1.3</v>
      </c>
      <c r="AM138" s="1">
        <v>205.1282051</v>
      </c>
      <c r="AO138" s="1">
        <v>8</v>
      </c>
      <c r="AQ138" s="1">
        <v>330.8205</v>
      </c>
    </row>
    <row r="139" spans="1:43">
      <c r="A139" s="1">
        <v>0.240449438</v>
      </c>
      <c r="I139" s="1">
        <v>3</v>
      </c>
      <c r="P139" s="1">
        <v>1.6</v>
      </c>
      <c r="X139" s="1">
        <v>41</v>
      </c>
      <c r="AJ139" s="1">
        <v>1.3</v>
      </c>
      <c r="AM139" s="1">
        <v>205.1282051</v>
      </c>
      <c r="AO139" s="1">
        <v>8</v>
      </c>
      <c r="AQ139" s="1">
        <v>330.8205</v>
      </c>
    </row>
    <row r="140" spans="1:43">
      <c r="A140" s="1">
        <v>0.240449438</v>
      </c>
      <c r="I140" s="1">
        <v>3</v>
      </c>
      <c r="P140" s="1">
        <v>1.6</v>
      </c>
      <c r="X140" s="1">
        <v>41</v>
      </c>
      <c r="AJ140" s="1">
        <v>1.3</v>
      </c>
      <c r="AM140" s="1">
        <v>205.1282051</v>
      </c>
      <c r="AO140" s="1">
        <v>8</v>
      </c>
      <c r="AQ140" s="1">
        <v>330.8205</v>
      </c>
    </row>
    <row r="141" spans="1:43">
      <c r="A141" s="1">
        <v>0.240449438</v>
      </c>
      <c r="I141" s="1">
        <v>3</v>
      </c>
      <c r="P141" s="1">
        <v>1.6</v>
      </c>
      <c r="X141" s="1">
        <v>41</v>
      </c>
      <c r="AJ141" s="1">
        <v>1.3</v>
      </c>
      <c r="AM141" s="1">
        <v>205.1282051</v>
      </c>
      <c r="AO141" s="1">
        <v>8</v>
      </c>
      <c r="AQ141" s="1">
        <v>330.8205</v>
      </c>
    </row>
    <row r="142" spans="1:43">
      <c r="A142" s="1">
        <v>0.240449438</v>
      </c>
      <c r="I142" s="1">
        <v>7</v>
      </c>
      <c r="P142" s="1">
        <v>1.6</v>
      </c>
      <c r="X142" s="1">
        <v>41</v>
      </c>
      <c r="AJ142" s="1">
        <v>1.3</v>
      </c>
      <c r="AM142" s="1">
        <v>205.1282051</v>
      </c>
      <c r="AO142" s="1">
        <v>8</v>
      </c>
      <c r="AQ142" s="1">
        <v>330.8205</v>
      </c>
    </row>
    <row r="143" spans="1:43">
      <c r="A143" s="1">
        <v>0.240449438</v>
      </c>
      <c r="I143" s="1">
        <v>7</v>
      </c>
      <c r="P143" s="1">
        <v>1.6</v>
      </c>
      <c r="X143" s="1">
        <v>41</v>
      </c>
      <c r="AJ143" s="1">
        <v>1.3</v>
      </c>
      <c r="AM143" s="1">
        <v>205.1282051</v>
      </c>
      <c r="AO143" s="1">
        <v>8</v>
      </c>
      <c r="AQ143" s="1">
        <v>330.8205</v>
      </c>
    </row>
    <row r="144" spans="1:43">
      <c r="A144" s="1">
        <v>0.240449438</v>
      </c>
      <c r="I144" s="1">
        <v>7</v>
      </c>
      <c r="P144" s="1">
        <v>1.6</v>
      </c>
      <c r="X144" s="1">
        <v>41</v>
      </c>
      <c r="AJ144" s="1">
        <v>1.3</v>
      </c>
      <c r="AM144" s="1">
        <v>205.1282051</v>
      </c>
      <c r="AO144" s="1">
        <v>8</v>
      </c>
      <c r="AQ144" s="1">
        <v>330.8205</v>
      </c>
    </row>
    <row r="145" spans="1:43">
      <c r="A145" s="1">
        <v>0.240449438</v>
      </c>
      <c r="I145" s="1">
        <v>28</v>
      </c>
      <c r="P145" s="1">
        <v>1.6</v>
      </c>
      <c r="X145" s="1">
        <v>41</v>
      </c>
      <c r="AJ145" s="1">
        <v>1.3</v>
      </c>
      <c r="AM145" s="1">
        <v>205.1282051</v>
      </c>
      <c r="AO145" s="1">
        <v>8</v>
      </c>
      <c r="AQ145" s="1">
        <v>330.8205</v>
      </c>
    </row>
    <row r="146" spans="1:43">
      <c r="A146" s="1">
        <v>0.240449438</v>
      </c>
      <c r="I146" s="1">
        <v>28</v>
      </c>
      <c r="P146" s="1">
        <v>1.6</v>
      </c>
      <c r="X146" s="1">
        <v>41</v>
      </c>
      <c r="AJ146" s="1">
        <v>1.3</v>
      </c>
      <c r="AM146" s="1">
        <v>205.1282051</v>
      </c>
      <c r="AO146" s="1">
        <v>8</v>
      </c>
      <c r="AQ146" s="1">
        <v>330.8205</v>
      </c>
    </row>
    <row r="147" spans="1:43">
      <c r="A147" s="1">
        <v>0.240449438</v>
      </c>
      <c r="I147" s="1">
        <v>28</v>
      </c>
      <c r="P147" s="1">
        <v>1.6</v>
      </c>
      <c r="X147" s="1">
        <v>41</v>
      </c>
      <c r="AJ147" s="1">
        <v>1.3</v>
      </c>
      <c r="AM147" s="1">
        <v>205.1282051</v>
      </c>
      <c r="AO147" s="1">
        <v>8</v>
      </c>
      <c r="AQ147" s="1">
        <v>330.8205</v>
      </c>
    </row>
    <row r="148" spans="1:43">
      <c r="A148" s="1">
        <v>0.240449438</v>
      </c>
      <c r="I148" s="1">
        <v>1</v>
      </c>
      <c r="P148" s="1">
        <v>1.6</v>
      </c>
      <c r="X148" s="1">
        <v>41</v>
      </c>
      <c r="AJ148" s="1">
        <v>1.3</v>
      </c>
      <c r="AM148" s="1">
        <v>205.1282051</v>
      </c>
      <c r="AO148" s="1">
        <v>8</v>
      </c>
      <c r="AQ148" s="1">
        <v>330.8205</v>
      </c>
    </row>
    <row r="149" spans="1:43">
      <c r="A149" s="1">
        <v>0.240449438</v>
      </c>
      <c r="I149" s="1">
        <v>1</v>
      </c>
      <c r="P149" s="1">
        <v>1.6</v>
      </c>
      <c r="X149" s="1">
        <v>41</v>
      </c>
      <c r="AJ149" s="1">
        <v>1.3</v>
      </c>
      <c r="AM149" s="1">
        <v>205.1282051</v>
      </c>
      <c r="AO149" s="1">
        <v>8</v>
      </c>
      <c r="AQ149" s="1">
        <v>330.8205</v>
      </c>
    </row>
    <row r="150" spans="1:43">
      <c r="A150" s="1">
        <v>0.240449438</v>
      </c>
      <c r="I150" s="1">
        <v>1</v>
      </c>
      <c r="P150" s="1">
        <v>1.6</v>
      </c>
      <c r="X150" s="1">
        <v>41</v>
      </c>
      <c r="AJ150" s="1">
        <v>1.3</v>
      </c>
      <c r="AM150" s="1">
        <v>205.1282051</v>
      </c>
      <c r="AO150" s="1">
        <v>8</v>
      </c>
      <c r="AQ150" s="1">
        <v>330.8205</v>
      </c>
    </row>
    <row r="151" spans="1:43">
      <c r="A151" s="1">
        <v>0.240449438</v>
      </c>
      <c r="I151" s="1">
        <v>3</v>
      </c>
      <c r="P151" s="1">
        <v>1.6</v>
      </c>
      <c r="X151" s="1">
        <v>41</v>
      </c>
      <c r="AJ151" s="1">
        <v>1.3</v>
      </c>
      <c r="AM151" s="1">
        <v>205.1282051</v>
      </c>
      <c r="AO151" s="1">
        <v>8</v>
      </c>
      <c r="AQ151" s="1">
        <v>330.8205</v>
      </c>
    </row>
    <row r="152" spans="1:43">
      <c r="A152" s="1">
        <v>0.240449438</v>
      </c>
      <c r="I152" s="1">
        <v>3</v>
      </c>
      <c r="P152" s="1">
        <v>1.6</v>
      </c>
      <c r="X152" s="1">
        <v>41</v>
      </c>
      <c r="AJ152" s="1">
        <v>1.3</v>
      </c>
      <c r="AM152" s="1">
        <v>205.1282051</v>
      </c>
      <c r="AO152" s="1">
        <v>8</v>
      </c>
      <c r="AQ152" s="1">
        <v>330.8205</v>
      </c>
    </row>
    <row r="153" spans="1:43">
      <c r="A153" s="1">
        <v>0.240449438</v>
      </c>
      <c r="I153" s="1">
        <v>3</v>
      </c>
      <c r="P153" s="1">
        <v>1.6</v>
      </c>
      <c r="X153" s="1">
        <v>41</v>
      </c>
      <c r="AJ153" s="1">
        <v>1.3</v>
      </c>
      <c r="AM153" s="1">
        <v>205.1282051</v>
      </c>
      <c r="AO153" s="1">
        <v>8</v>
      </c>
      <c r="AQ153" s="1">
        <v>330.8205</v>
      </c>
    </row>
    <row r="154" spans="1:43">
      <c r="A154" s="1">
        <v>0.240449438</v>
      </c>
      <c r="I154" s="1">
        <v>7</v>
      </c>
      <c r="P154" s="1">
        <v>1.6</v>
      </c>
      <c r="X154" s="1">
        <v>41</v>
      </c>
      <c r="AJ154" s="1">
        <v>1.3</v>
      </c>
      <c r="AM154" s="1">
        <v>205.1282051</v>
      </c>
      <c r="AO154" s="1">
        <v>8</v>
      </c>
      <c r="AQ154" s="1">
        <v>330.8205</v>
      </c>
    </row>
    <row r="155" spans="1:43">
      <c r="A155" s="1">
        <v>0.240449438</v>
      </c>
      <c r="I155" s="1">
        <v>7</v>
      </c>
      <c r="P155" s="1">
        <v>1.6</v>
      </c>
      <c r="X155" s="1">
        <v>41</v>
      </c>
      <c r="AJ155" s="1">
        <v>1.3</v>
      </c>
      <c r="AM155" s="1">
        <v>205.1282051</v>
      </c>
      <c r="AO155" s="1">
        <v>8</v>
      </c>
      <c r="AQ155" s="1">
        <v>330.8205</v>
      </c>
    </row>
    <row r="156" spans="1:43">
      <c r="A156" s="1">
        <v>0.240449438</v>
      </c>
      <c r="I156" s="1">
        <v>7</v>
      </c>
      <c r="P156" s="1">
        <v>1.6</v>
      </c>
      <c r="X156" s="1">
        <v>41</v>
      </c>
      <c r="AJ156" s="1">
        <v>1.3</v>
      </c>
      <c r="AM156" s="1">
        <v>205.1282051</v>
      </c>
      <c r="AO156" s="1">
        <v>8</v>
      </c>
      <c r="AQ156" s="1">
        <v>330.8205</v>
      </c>
    </row>
    <row r="157" spans="1:43">
      <c r="A157" s="1">
        <v>0.240449438</v>
      </c>
      <c r="I157" s="1">
        <v>28</v>
      </c>
      <c r="P157" s="1">
        <v>1.6</v>
      </c>
      <c r="X157" s="1">
        <v>41</v>
      </c>
      <c r="AJ157" s="1">
        <v>1.3</v>
      </c>
      <c r="AM157" s="1">
        <v>205.1282051</v>
      </c>
      <c r="AO157" s="1">
        <v>8</v>
      </c>
      <c r="AQ157" s="1">
        <v>330.8205</v>
      </c>
    </row>
    <row r="158" spans="1:43">
      <c r="A158" s="1">
        <v>0.240449438</v>
      </c>
      <c r="I158" s="1">
        <v>28</v>
      </c>
      <c r="P158" s="1">
        <v>1.6</v>
      </c>
      <c r="X158" s="1">
        <v>41</v>
      </c>
      <c r="AJ158" s="1">
        <v>1.3</v>
      </c>
      <c r="AM158" s="1">
        <v>205.1282051</v>
      </c>
      <c r="AO158" s="1">
        <v>8</v>
      </c>
      <c r="AQ158" s="1">
        <v>330.8205</v>
      </c>
    </row>
    <row r="159" spans="1:43">
      <c r="A159" s="1">
        <v>0.240449438</v>
      </c>
      <c r="I159" s="1">
        <v>28</v>
      </c>
      <c r="P159" s="1">
        <v>1.6</v>
      </c>
      <c r="X159" s="1">
        <v>41</v>
      </c>
      <c r="AJ159" s="1">
        <v>1.3</v>
      </c>
      <c r="AM159" s="1">
        <v>205.1282051</v>
      </c>
      <c r="AO159" s="1">
        <v>8</v>
      </c>
      <c r="AQ159" s="1">
        <v>330.8205</v>
      </c>
    </row>
    <row r="160" spans="1:43">
      <c r="A160" s="1">
        <v>0.240449438</v>
      </c>
      <c r="I160" s="1">
        <v>1</v>
      </c>
      <c r="P160" s="1">
        <v>1.6</v>
      </c>
      <c r="X160" s="1">
        <v>41</v>
      </c>
      <c r="AJ160" s="1">
        <v>1.3</v>
      </c>
      <c r="AM160" s="1">
        <v>205.1282051</v>
      </c>
      <c r="AO160" s="1">
        <v>8</v>
      </c>
      <c r="AQ160" s="1">
        <v>330.8205</v>
      </c>
    </row>
    <row r="161" spans="1:43">
      <c r="A161" s="1">
        <v>0.240449438</v>
      </c>
      <c r="I161" s="1">
        <v>1</v>
      </c>
      <c r="P161" s="1">
        <v>1.6</v>
      </c>
      <c r="X161" s="1">
        <v>41</v>
      </c>
      <c r="AJ161" s="1">
        <v>1.3</v>
      </c>
      <c r="AM161" s="1">
        <v>205.1282051</v>
      </c>
      <c r="AO161" s="1">
        <v>8</v>
      </c>
      <c r="AQ161" s="1">
        <v>330.8205</v>
      </c>
    </row>
    <row r="162" spans="1:43">
      <c r="A162" s="1">
        <v>0.240449438</v>
      </c>
      <c r="I162" s="1">
        <v>1</v>
      </c>
      <c r="P162" s="1">
        <v>1.6</v>
      </c>
      <c r="X162" s="1">
        <v>41</v>
      </c>
      <c r="AJ162" s="1">
        <v>1.3</v>
      </c>
      <c r="AM162" s="1">
        <v>205.1282051</v>
      </c>
      <c r="AO162" s="1">
        <v>8</v>
      </c>
      <c r="AQ162" s="1">
        <v>330.8205</v>
      </c>
    </row>
    <row r="163" spans="1:43">
      <c r="A163" s="1">
        <v>0.240449438</v>
      </c>
      <c r="I163" s="1">
        <v>3</v>
      </c>
      <c r="P163" s="1">
        <v>1.6</v>
      </c>
      <c r="X163" s="1">
        <v>41</v>
      </c>
      <c r="AJ163" s="1">
        <v>1.3</v>
      </c>
      <c r="AM163" s="1">
        <v>205.1282051</v>
      </c>
      <c r="AO163" s="1">
        <v>8</v>
      </c>
      <c r="AQ163" s="1">
        <v>330.8205</v>
      </c>
    </row>
    <row r="164" spans="1:43">
      <c r="A164" s="1">
        <v>0.240449438</v>
      </c>
      <c r="I164" s="1">
        <v>3</v>
      </c>
      <c r="P164" s="1">
        <v>1.6</v>
      </c>
      <c r="X164" s="1">
        <v>41</v>
      </c>
      <c r="AJ164" s="1">
        <v>1.3</v>
      </c>
      <c r="AM164" s="1">
        <v>205.1282051</v>
      </c>
      <c r="AO164" s="1">
        <v>8</v>
      </c>
      <c r="AQ164" s="1">
        <v>330.8205</v>
      </c>
    </row>
    <row r="165" spans="1:43">
      <c r="A165" s="1">
        <v>0.240449438</v>
      </c>
      <c r="I165" s="1">
        <v>3</v>
      </c>
      <c r="P165" s="1">
        <v>1.6</v>
      </c>
      <c r="X165" s="1">
        <v>41</v>
      </c>
      <c r="AJ165" s="1">
        <v>1.3</v>
      </c>
      <c r="AM165" s="1">
        <v>205.1282051</v>
      </c>
      <c r="AO165" s="1">
        <v>8</v>
      </c>
      <c r="AQ165" s="1">
        <v>330.8205</v>
      </c>
    </row>
    <row r="166" spans="1:43">
      <c r="A166" s="1">
        <v>0.240449438</v>
      </c>
      <c r="I166" s="1">
        <v>7</v>
      </c>
      <c r="P166" s="1">
        <v>1.6</v>
      </c>
      <c r="X166" s="1">
        <v>41</v>
      </c>
      <c r="AJ166" s="1">
        <v>1.3</v>
      </c>
      <c r="AM166" s="1">
        <v>205.1282051</v>
      </c>
      <c r="AO166" s="1">
        <v>8</v>
      </c>
      <c r="AQ166" s="1">
        <v>330.8205</v>
      </c>
    </row>
    <row r="167" spans="1:43">
      <c r="A167" s="1">
        <v>0.240449438</v>
      </c>
      <c r="I167" s="1">
        <v>7</v>
      </c>
      <c r="P167" s="1">
        <v>1.6</v>
      </c>
      <c r="X167" s="1">
        <v>41</v>
      </c>
      <c r="AJ167" s="1">
        <v>1.3</v>
      </c>
      <c r="AM167" s="1">
        <v>205.1282051</v>
      </c>
      <c r="AO167" s="1">
        <v>8</v>
      </c>
      <c r="AQ167" s="1">
        <v>330.8205</v>
      </c>
    </row>
    <row r="168" spans="1:43">
      <c r="A168" s="1">
        <v>0.240449438</v>
      </c>
      <c r="I168" s="1">
        <v>7</v>
      </c>
      <c r="P168" s="1">
        <v>1.6</v>
      </c>
      <c r="X168" s="1">
        <v>41</v>
      </c>
      <c r="AJ168" s="1">
        <v>1.3</v>
      </c>
      <c r="AM168" s="1">
        <v>205.1282051</v>
      </c>
      <c r="AO168" s="1">
        <v>8</v>
      </c>
      <c r="AQ168" s="1">
        <v>330.8205</v>
      </c>
    </row>
    <row r="169" spans="1:43">
      <c r="A169" s="1">
        <v>0.240449438</v>
      </c>
      <c r="I169" s="1">
        <v>28</v>
      </c>
      <c r="P169" s="1">
        <v>1.6</v>
      </c>
      <c r="X169" s="1">
        <v>41</v>
      </c>
      <c r="AJ169" s="1">
        <v>1.3</v>
      </c>
      <c r="AM169" s="1">
        <v>205.1282051</v>
      </c>
      <c r="AO169" s="1">
        <v>8</v>
      </c>
      <c r="AQ169" s="1">
        <v>330.8205</v>
      </c>
    </row>
    <row r="170" spans="1:43">
      <c r="A170" s="1">
        <v>0.240449438</v>
      </c>
      <c r="I170" s="1">
        <v>28</v>
      </c>
      <c r="P170" s="1">
        <v>1.6</v>
      </c>
      <c r="X170" s="1">
        <v>41</v>
      </c>
      <c r="AJ170" s="1">
        <v>1.3</v>
      </c>
      <c r="AM170" s="1">
        <v>205.1282051</v>
      </c>
      <c r="AO170" s="1">
        <v>8</v>
      </c>
      <c r="AQ170" s="1">
        <v>330.8205</v>
      </c>
    </row>
    <row r="171" spans="1:43">
      <c r="A171" s="1">
        <v>0.240449438</v>
      </c>
      <c r="I171" s="1">
        <v>28</v>
      </c>
      <c r="P171" s="1">
        <v>1.6</v>
      </c>
      <c r="X171" s="1">
        <v>41</v>
      </c>
      <c r="AJ171" s="1">
        <v>1.3</v>
      </c>
      <c r="AM171" s="1">
        <v>205.1282051</v>
      </c>
      <c r="AO171" s="1">
        <v>8</v>
      </c>
      <c r="AQ171" s="1">
        <v>330.8205</v>
      </c>
    </row>
    <row r="172" spans="1:43">
      <c r="A172" s="1">
        <v>0.240449438</v>
      </c>
      <c r="I172" s="1">
        <v>1</v>
      </c>
      <c r="P172" s="1">
        <v>1.6</v>
      </c>
      <c r="X172" s="1">
        <v>41</v>
      </c>
      <c r="AJ172" s="1">
        <v>1.3</v>
      </c>
      <c r="AM172" s="1">
        <v>205.1282051</v>
      </c>
      <c r="AO172" s="1">
        <v>8</v>
      </c>
      <c r="AQ172" s="1">
        <v>330.8205</v>
      </c>
    </row>
    <row r="173" spans="1:43">
      <c r="A173" s="1">
        <v>0.240449438</v>
      </c>
      <c r="I173" s="1">
        <v>1</v>
      </c>
      <c r="P173" s="1">
        <v>1.6</v>
      </c>
      <c r="X173" s="1">
        <v>41</v>
      </c>
      <c r="AJ173" s="1">
        <v>1.3</v>
      </c>
      <c r="AM173" s="1">
        <v>205.1282051</v>
      </c>
      <c r="AO173" s="1">
        <v>8</v>
      </c>
      <c r="AQ173" s="1">
        <v>330.8205</v>
      </c>
    </row>
    <row r="174" spans="1:43">
      <c r="A174" s="1">
        <v>0.240449438</v>
      </c>
      <c r="I174" s="1">
        <v>1</v>
      </c>
      <c r="P174" s="1">
        <v>1.6</v>
      </c>
      <c r="X174" s="1">
        <v>41</v>
      </c>
      <c r="AJ174" s="1">
        <v>1.3</v>
      </c>
      <c r="AM174" s="1">
        <v>205.1282051</v>
      </c>
      <c r="AO174" s="1">
        <v>8</v>
      </c>
      <c r="AQ174" s="1">
        <v>330.8205</v>
      </c>
    </row>
    <row r="175" spans="1:43">
      <c r="A175" s="1">
        <v>0.240449438</v>
      </c>
      <c r="I175" s="1">
        <v>3</v>
      </c>
      <c r="P175" s="1">
        <v>1.6</v>
      </c>
      <c r="X175" s="1">
        <v>41</v>
      </c>
      <c r="AJ175" s="1">
        <v>1.3</v>
      </c>
      <c r="AM175" s="1">
        <v>205.1282051</v>
      </c>
      <c r="AO175" s="1">
        <v>8</v>
      </c>
      <c r="AQ175" s="1">
        <v>330.8205</v>
      </c>
    </row>
    <row r="176" spans="1:43">
      <c r="A176" s="1">
        <v>0.240449438</v>
      </c>
      <c r="I176" s="1">
        <v>3</v>
      </c>
      <c r="P176" s="1">
        <v>1.6</v>
      </c>
      <c r="X176" s="1">
        <v>41</v>
      </c>
      <c r="AJ176" s="1">
        <v>1.3</v>
      </c>
      <c r="AM176" s="1">
        <v>205.1282051</v>
      </c>
      <c r="AO176" s="1">
        <v>8</v>
      </c>
      <c r="AQ176" s="1">
        <v>330.8205</v>
      </c>
    </row>
    <row r="177" spans="1:43">
      <c r="A177" s="1">
        <v>0.240449438</v>
      </c>
      <c r="I177" s="1">
        <v>3</v>
      </c>
      <c r="P177" s="1">
        <v>1.6</v>
      </c>
      <c r="X177" s="1">
        <v>41</v>
      </c>
      <c r="AJ177" s="1">
        <v>1.3</v>
      </c>
      <c r="AM177" s="1">
        <v>205.1282051</v>
      </c>
      <c r="AO177" s="1">
        <v>8</v>
      </c>
      <c r="AQ177" s="1">
        <v>330.8205</v>
      </c>
    </row>
    <row r="178" spans="1:43">
      <c r="A178" s="1">
        <v>0.240449438</v>
      </c>
      <c r="I178" s="1">
        <v>7</v>
      </c>
      <c r="P178" s="1">
        <v>1.6</v>
      </c>
      <c r="X178" s="1">
        <v>41</v>
      </c>
      <c r="AJ178" s="1">
        <v>1.3</v>
      </c>
      <c r="AM178" s="1">
        <v>205.1282051</v>
      </c>
      <c r="AO178" s="1">
        <v>8</v>
      </c>
      <c r="AQ178" s="1">
        <v>330.8205</v>
      </c>
    </row>
    <row r="179" spans="1:43">
      <c r="A179" s="1">
        <v>0.240449438</v>
      </c>
      <c r="I179" s="1">
        <v>7</v>
      </c>
      <c r="P179" s="1">
        <v>1.6</v>
      </c>
      <c r="X179" s="1">
        <v>41</v>
      </c>
      <c r="AJ179" s="1">
        <v>1.3</v>
      </c>
      <c r="AM179" s="1">
        <v>205.1282051</v>
      </c>
      <c r="AO179" s="1">
        <v>8</v>
      </c>
      <c r="AQ179" s="1">
        <v>330.8205</v>
      </c>
    </row>
    <row r="180" spans="1:43">
      <c r="A180" s="1">
        <v>0.240449438</v>
      </c>
      <c r="I180" s="1">
        <v>7</v>
      </c>
      <c r="P180" s="1">
        <v>1.6</v>
      </c>
      <c r="X180" s="1">
        <v>41</v>
      </c>
      <c r="AJ180" s="1">
        <v>1.3</v>
      </c>
      <c r="AM180" s="1">
        <v>205.1282051</v>
      </c>
      <c r="AO180" s="1">
        <v>8</v>
      </c>
      <c r="AQ180" s="1">
        <v>330.8205</v>
      </c>
    </row>
    <row r="181" spans="1:43">
      <c r="A181" s="1">
        <v>0.240449438</v>
      </c>
      <c r="I181" s="1">
        <v>28</v>
      </c>
      <c r="P181" s="1">
        <v>1.6</v>
      </c>
      <c r="X181" s="1">
        <v>41</v>
      </c>
      <c r="AJ181" s="1">
        <v>1.3</v>
      </c>
      <c r="AM181" s="1">
        <v>205.1282051</v>
      </c>
      <c r="AO181" s="1">
        <v>8</v>
      </c>
      <c r="AQ181" s="1">
        <v>330.8205</v>
      </c>
    </row>
    <row r="182" spans="1:43">
      <c r="A182" s="1">
        <v>0.240449438</v>
      </c>
      <c r="I182" s="1">
        <v>28</v>
      </c>
      <c r="P182" s="1">
        <v>1.6</v>
      </c>
      <c r="X182" s="1">
        <v>41</v>
      </c>
      <c r="AJ182" s="1">
        <v>1.3</v>
      </c>
      <c r="AM182" s="1">
        <v>205.1282051</v>
      </c>
      <c r="AO182" s="1">
        <v>8</v>
      </c>
      <c r="AQ182" s="1">
        <v>330.8205</v>
      </c>
    </row>
    <row r="183" spans="1:43">
      <c r="A183" s="1">
        <v>0.240449438</v>
      </c>
      <c r="I183" s="1">
        <v>28</v>
      </c>
      <c r="P183" s="1">
        <v>1.6</v>
      </c>
      <c r="X183" s="1">
        <v>41</v>
      </c>
      <c r="AJ183" s="1">
        <v>1.3</v>
      </c>
      <c r="AM183" s="1">
        <v>205.1282051</v>
      </c>
      <c r="AO183" s="1">
        <v>8</v>
      </c>
      <c r="AQ183" s="1">
        <v>330.8205</v>
      </c>
    </row>
    <row r="184" spans="1:43">
      <c r="A184" s="1">
        <v>0.169617894</v>
      </c>
      <c r="I184" s="1">
        <v>28</v>
      </c>
      <c r="P184" s="1">
        <v>1.6</v>
      </c>
      <c r="X184" s="1">
        <v>41</v>
      </c>
      <c r="AJ184" s="1">
        <v>1.3</v>
      </c>
      <c r="AM184" s="1">
        <v>153.8461538</v>
      </c>
      <c r="AO184" s="1">
        <v>6</v>
      </c>
      <c r="AQ184" s="1">
        <v>573.17557</v>
      </c>
    </row>
    <row r="185" spans="1:43">
      <c r="A185" s="1">
        <v>0.169617894</v>
      </c>
      <c r="I185" s="1">
        <v>28</v>
      </c>
      <c r="P185" s="1">
        <v>1.6</v>
      </c>
      <c r="X185" s="1">
        <v>41</v>
      </c>
      <c r="AJ185" s="1">
        <v>1.3</v>
      </c>
      <c r="AM185" s="1">
        <v>153.8461538</v>
      </c>
      <c r="AO185" s="1">
        <v>6</v>
      </c>
      <c r="AQ185" s="1">
        <v>573.17557</v>
      </c>
    </row>
    <row r="186" spans="1:43">
      <c r="A186" s="1">
        <v>0.169617894</v>
      </c>
      <c r="I186" s="1">
        <v>28</v>
      </c>
      <c r="P186" s="1">
        <v>1.6</v>
      </c>
      <c r="X186" s="1">
        <v>41</v>
      </c>
      <c r="AJ186" s="1">
        <v>1.3</v>
      </c>
      <c r="AM186" s="1">
        <v>153.8461538</v>
      </c>
      <c r="AO186" s="1">
        <v>6</v>
      </c>
      <c r="AQ186" s="1">
        <v>573.17557</v>
      </c>
    </row>
    <row r="187" spans="1:43">
      <c r="A187" s="1">
        <v>0.169617894</v>
      </c>
      <c r="I187" s="1">
        <v>28</v>
      </c>
      <c r="P187" s="1">
        <v>1.6</v>
      </c>
      <c r="X187" s="1">
        <v>41</v>
      </c>
      <c r="AJ187" s="1">
        <v>1.3</v>
      </c>
      <c r="AM187" s="1">
        <v>153.8461538</v>
      </c>
      <c r="AO187" s="1">
        <v>6</v>
      </c>
      <c r="AQ187" s="1">
        <v>573.17557</v>
      </c>
    </row>
    <row r="188" spans="1:43">
      <c r="A188" s="1">
        <v>0.169617894</v>
      </c>
      <c r="I188" s="1">
        <v>28</v>
      </c>
      <c r="P188" s="1">
        <v>1.6</v>
      </c>
      <c r="X188" s="1">
        <v>41</v>
      </c>
      <c r="AJ188" s="1">
        <v>1.3</v>
      </c>
      <c r="AM188" s="1">
        <v>153.8461538</v>
      </c>
      <c r="AO188" s="1">
        <v>6</v>
      </c>
      <c r="AQ188" s="1">
        <v>573.17557</v>
      </c>
    </row>
    <row r="189" spans="1:43">
      <c r="A189" s="1">
        <v>0.169617894</v>
      </c>
      <c r="I189" s="1">
        <v>28</v>
      </c>
      <c r="P189" s="1">
        <v>1.6</v>
      </c>
      <c r="X189" s="1">
        <v>41</v>
      </c>
      <c r="AJ189" s="1">
        <v>1.3</v>
      </c>
      <c r="AM189" s="1">
        <v>153.8461538</v>
      </c>
      <c r="AO189" s="1">
        <v>6</v>
      </c>
      <c r="AQ189" s="1">
        <v>573.17557</v>
      </c>
    </row>
    <row r="190" spans="1:43">
      <c r="A190" s="1">
        <v>0.169617894</v>
      </c>
      <c r="I190" s="1">
        <v>28</v>
      </c>
      <c r="P190" s="1">
        <v>1.6</v>
      </c>
      <c r="X190" s="1">
        <v>41</v>
      </c>
      <c r="AJ190" s="1">
        <v>1.3</v>
      </c>
      <c r="AM190" s="1">
        <v>153.8461538</v>
      </c>
      <c r="AO190" s="1">
        <v>6</v>
      </c>
      <c r="AQ190" s="1">
        <v>573.17557</v>
      </c>
    </row>
    <row r="191" spans="1:43">
      <c r="A191" s="1">
        <v>0.169617894</v>
      </c>
      <c r="I191" s="1">
        <v>28</v>
      </c>
      <c r="P191" s="1">
        <v>1.6</v>
      </c>
      <c r="X191" s="1">
        <v>41</v>
      </c>
      <c r="AJ191" s="1">
        <v>1.3</v>
      </c>
      <c r="AM191" s="1">
        <v>153.8461538</v>
      </c>
      <c r="AO191" s="1">
        <v>6</v>
      </c>
      <c r="AQ191" s="1">
        <v>573.17557</v>
      </c>
    </row>
    <row r="192" spans="1:43">
      <c r="A192" s="1">
        <v>0.169617894</v>
      </c>
      <c r="I192" s="1">
        <v>28</v>
      </c>
      <c r="P192" s="1">
        <v>1.6</v>
      </c>
      <c r="X192" s="1">
        <v>41</v>
      </c>
      <c r="AJ192" s="1">
        <v>1.3</v>
      </c>
      <c r="AM192" s="1">
        <v>153.8461538</v>
      </c>
      <c r="AO192" s="1">
        <v>6</v>
      </c>
      <c r="AQ192" s="1">
        <v>573.17557</v>
      </c>
    </row>
    <row r="193" spans="1:43">
      <c r="A193" s="1">
        <v>0.169617894</v>
      </c>
      <c r="I193" s="1">
        <v>28</v>
      </c>
      <c r="P193" s="1">
        <v>1.6</v>
      </c>
      <c r="X193" s="1">
        <v>41</v>
      </c>
      <c r="AJ193" s="1">
        <v>1.3</v>
      </c>
      <c r="AM193" s="1">
        <v>153.8461538</v>
      </c>
      <c r="AO193" s="1">
        <v>6</v>
      </c>
      <c r="AQ193" s="1">
        <v>573.17557</v>
      </c>
    </row>
    <row r="194" spans="1:43">
      <c r="A194" s="1">
        <v>0.169617894</v>
      </c>
      <c r="I194" s="1">
        <v>28</v>
      </c>
      <c r="P194" s="1">
        <v>1.6</v>
      </c>
      <c r="X194" s="1">
        <v>41</v>
      </c>
      <c r="AJ194" s="1">
        <v>1.3</v>
      </c>
      <c r="AM194" s="1">
        <v>153.8461538</v>
      </c>
      <c r="AO194" s="1">
        <v>6</v>
      </c>
      <c r="AQ194" s="1">
        <v>573.17557</v>
      </c>
    </row>
    <row r="195" spans="1:43">
      <c r="A195" s="1">
        <v>0.169617894</v>
      </c>
      <c r="I195" s="1">
        <v>28</v>
      </c>
      <c r="P195" s="1">
        <v>1.6</v>
      </c>
      <c r="X195" s="1">
        <v>41</v>
      </c>
      <c r="AJ195" s="1">
        <v>1.3</v>
      </c>
      <c r="AM195" s="1">
        <v>153.8461538</v>
      </c>
      <c r="AO195" s="1">
        <v>6</v>
      </c>
      <c r="AQ195" s="1">
        <v>573.17557</v>
      </c>
    </row>
    <row r="196" spans="1:43">
      <c r="A196" s="1">
        <v>0.169617894</v>
      </c>
      <c r="I196" s="1">
        <v>28</v>
      </c>
      <c r="P196" s="1">
        <v>1.6</v>
      </c>
      <c r="X196" s="1">
        <v>41</v>
      </c>
      <c r="AJ196" s="1">
        <v>1.3</v>
      </c>
      <c r="AM196" s="1">
        <v>153.8461538</v>
      </c>
      <c r="AO196" s="1">
        <v>6</v>
      </c>
      <c r="AQ196" s="1">
        <v>573.17557</v>
      </c>
    </row>
    <row r="197" spans="1:43">
      <c r="A197" s="1">
        <v>0.169617894</v>
      </c>
      <c r="I197" s="1">
        <v>28</v>
      </c>
      <c r="P197" s="1">
        <v>1.6</v>
      </c>
      <c r="X197" s="1">
        <v>41</v>
      </c>
      <c r="AJ197" s="1">
        <v>1.3</v>
      </c>
      <c r="AM197" s="1">
        <v>153.8461538</v>
      </c>
      <c r="AO197" s="1">
        <v>6</v>
      </c>
      <c r="AQ197" s="1">
        <v>573.17557</v>
      </c>
    </row>
    <row r="198" spans="1:43">
      <c r="A198" s="1">
        <v>0.169617894</v>
      </c>
      <c r="I198" s="1">
        <v>28</v>
      </c>
      <c r="P198" s="1">
        <v>1.6</v>
      </c>
      <c r="X198" s="1">
        <v>41</v>
      </c>
      <c r="AJ198" s="1">
        <v>1.3</v>
      </c>
      <c r="AM198" s="1">
        <v>153.8461538</v>
      </c>
      <c r="AO198" s="1">
        <v>6</v>
      </c>
      <c r="AQ198" s="1">
        <v>573.17557</v>
      </c>
    </row>
    <row r="199" spans="1:43">
      <c r="A199" s="1">
        <v>0.169617894</v>
      </c>
      <c r="I199" s="1">
        <v>28</v>
      </c>
      <c r="P199" s="1">
        <v>0.46</v>
      </c>
      <c r="X199" s="1">
        <v>4.236</v>
      </c>
      <c r="AJ199" s="1">
        <v>0.91</v>
      </c>
      <c r="AM199" s="1">
        <v>153.8461538</v>
      </c>
      <c r="AO199" s="1">
        <v>6</v>
      </c>
      <c r="AQ199" s="1">
        <v>573.17557</v>
      </c>
    </row>
    <row r="200" spans="1:43">
      <c r="A200" s="1">
        <v>0.169617894</v>
      </c>
      <c r="I200" s="1">
        <v>28</v>
      </c>
      <c r="P200" s="1">
        <v>0.46</v>
      </c>
      <c r="X200" s="1">
        <v>4.236</v>
      </c>
      <c r="AJ200" s="1">
        <v>0.91</v>
      </c>
      <c r="AM200" s="1">
        <v>153.8461538</v>
      </c>
      <c r="AO200" s="1">
        <v>6</v>
      </c>
      <c r="AQ200" s="1">
        <v>573.17557</v>
      </c>
    </row>
    <row r="201" spans="1:43">
      <c r="A201" s="1">
        <v>0.169617894</v>
      </c>
      <c r="I201" s="1">
        <v>28</v>
      </c>
      <c r="P201" s="1">
        <v>0.46</v>
      </c>
      <c r="X201" s="1">
        <v>4.236</v>
      </c>
      <c r="AJ201" s="1">
        <v>0.91</v>
      </c>
      <c r="AM201" s="1">
        <v>153.8461538</v>
      </c>
      <c r="AO201" s="1">
        <v>6</v>
      </c>
      <c r="AQ201" s="1">
        <v>573.17557</v>
      </c>
    </row>
    <row r="202" spans="1:43">
      <c r="A202" s="1">
        <v>0.169617894</v>
      </c>
      <c r="I202" s="1">
        <v>28</v>
      </c>
      <c r="P202" s="1">
        <v>0.46</v>
      </c>
      <c r="X202" s="1">
        <v>4.236</v>
      </c>
      <c r="AJ202" s="1">
        <v>0.91</v>
      </c>
      <c r="AM202" s="1">
        <v>153.8461538</v>
      </c>
      <c r="AO202" s="1">
        <v>6</v>
      </c>
      <c r="AQ202" s="1">
        <v>573.17557</v>
      </c>
    </row>
    <row r="203" spans="1:43">
      <c r="A203" s="1">
        <v>0.169617894</v>
      </c>
      <c r="I203" s="1">
        <v>28</v>
      </c>
      <c r="P203" s="1">
        <v>0.46</v>
      </c>
      <c r="X203" s="1">
        <v>4.236</v>
      </c>
      <c r="AJ203" s="1">
        <v>0.91</v>
      </c>
      <c r="AM203" s="1">
        <v>153.8461538</v>
      </c>
      <c r="AO203" s="1">
        <v>6</v>
      </c>
      <c r="AQ203" s="1">
        <v>573.17557</v>
      </c>
    </row>
    <row r="204" spans="1:43">
      <c r="A204" s="1">
        <v>0.169617894</v>
      </c>
      <c r="I204" s="1">
        <v>28</v>
      </c>
      <c r="P204" s="1">
        <v>0.46</v>
      </c>
      <c r="X204" s="1">
        <v>4.236</v>
      </c>
      <c r="AJ204" s="1">
        <v>0.91</v>
      </c>
      <c r="AM204" s="1">
        <v>153.8461538</v>
      </c>
      <c r="AO204" s="1">
        <v>6</v>
      </c>
      <c r="AQ204" s="1">
        <v>573.17557</v>
      </c>
    </row>
    <row r="205" spans="1:43">
      <c r="A205" s="1">
        <v>0.169617894</v>
      </c>
      <c r="I205" s="1">
        <v>28</v>
      </c>
      <c r="P205" s="1">
        <v>0.46</v>
      </c>
      <c r="X205" s="1">
        <v>4.236</v>
      </c>
      <c r="AJ205" s="1">
        <v>0.91</v>
      </c>
      <c r="AM205" s="1">
        <v>153.8461538</v>
      </c>
      <c r="AO205" s="1">
        <v>6</v>
      </c>
      <c r="AQ205" s="1">
        <v>573.17557</v>
      </c>
    </row>
    <row r="206" spans="1:43">
      <c r="A206" s="1">
        <v>0.169617894</v>
      </c>
      <c r="I206" s="1">
        <v>28</v>
      </c>
      <c r="P206" s="1">
        <v>0.46</v>
      </c>
      <c r="X206" s="1">
        <v>4.236</v>
      </c>
      <c r="AJ206" s="1">
        <v>0.91</v>
      </c>
      <c r="AM206" s="1">
        <v>153.8461538</v>
      </c>
      <c r="AO206" s="1">
        <v>6</v>
      </c>
      <c r="AQ206" s="1">
        <v>573.17557</v>
      </c>
    </row>
    <row r="207" spans="1:43">
      <c r="A207" s="1">
        <v>0.169617894</v>
      </c>
      <c r="I207" s="1">
        <v>28</v>
      </c>
      <c r="P207" s="1">
        <v>0.46</v>
      </c>
      <c r="X207" s="1">
        <v>4.236</v>
      </c>
      <c r="AJ207" s="1">
        <v>0.91</v>
      </c>
      <c r="AM207" s="1">
        <v>153.8461538</v>
      </c>
      <c r="AO207" s="1">
        <v>6</v>
      </c>
      <c r="AQ207" s="1">
        <v>573.17557</v>
      </c>
    </row>
    <row r="208" spans="1:43">
      <c r="A208" s="1">
        <v>0.169617894</v>
      </c>
      <c r="I208" s="1">
        <v>28</v>
      </c>
      <c r="P208" s="1">
        <v>0.46</v>
      </c>
      <c r="X208" s="1">
        <v>4.236</v>
      </c>
      <c r="AJ208" s="1">
        <v>0.91</v>
      </c>
      <c r="AM208" s="1">
        <v>153.8461538</v>
      </c>
      <c r="AO208" s="1">
        <v>6</v>
      </c>
      <c r="AQ208" s="1">
        <v>573.17557</v>
      </c>
    </row>
    <row r="209" spans="1:43">
      <c r="A209" s="1">
        <v>0.169617894</v>
      </c>
      <c r="I209" s="1">
        <v>28</v>
      </c>
      <c r="P209" s="1">
        <v>0.46</v>
      </c>
      <c r="X209" s="1">
        <v>4.236</v>
      </c>
      <c r="AJ209" s="1">
        <v>0.91</v>
      </c>
      <c r="AM209" s="1">
        <v>153.8461538</v>
      </c>
      <c r="AO209" s="1">
        <v>6</v>
      </c>
      <c r="AQ209" s="1">
        <v>573.17557</v>
      </c>
    </row>
    <row r="210" spans="1:43">
      <c r="A210" s="1">
        <v>0.169617894</v>
      </c>
      <c r="I210" s="1">
        <v>28</v>
      </c>
      <c r="P210" s="1">
        <v>0.46</v>
      </c>
      <c r="X210" s="1">
        <v>4.236</v>
      </c>
      <c r="AJ210" s="1">
        <v>0.91</v>
      </c>
      <c r="AM210" s="1">
        <v>153.8461538</v>
      </c>
      <c r="AO210" s="1">
        <v>6</v>
      </c>
      <c r="AQ210" s="1">
        <v>573.17557</v>
      </c>
    </row>
    <row r="211" spans="1:43">
      <c r="A211" s="1">
        <v>0.169617894</v>
      </c>
      <c r="I211" s="1">
        <v>28</v>
      </c>
      <c r="P211" s="1">
        <v>0.46</v>
      </c>
      <c r="X211" s="1">
        <v>4.236</v>
      </c>
      <c r="AJ211" s="1">
        <v>0.91</v>
      </c>
      <c r="AM211" s="1">
        <v>153.8461538</v>
      </c>
      <c r="AO211" s="1">
        <v>6</v>
      </c>
      <c r="AQ211" s="1">
        <v>573.17557</v>
      </c>
    </row>
    <row r="212" spans="1:43">
      <c r="A212" s="1">
        <v>0.169617894</v>
      </c>
      <c r="I212" s="1">
        <v>28</v>
      </c>
      <c r="P212" s="1">
        <v>0.46</v>
      </c>
      <c r="X212" s="1">
        <v>4.236</v>
      </c>
      <c r="AJ212" s="1">
        <v>0.91</v>
      </c>
      <c r="AM212" s="1">
        <v>153.8461538</v>
      </c>
      <c r="AO212" s="1">
        <v>6</v>
      </c>
      <c r="AQ212" s="1">
        <v>573.17557</v>
      </c>
    </row>
    <row r="213" spans="1:43">
      <c r="A213" s="1">
        <v>0.169617894</v>
      </c>
      <c r="I213" s="1">
        <v>28</v>
      </c>
      <c r="P213" s="1">
        <v>0.46</v>
      </c>
      <c r="X213" s="1">
        <v>4.236</v>
      </c>
      <c r="AJ213" s="1">
        <v>0.91</v>
      </c>
      <c r="AM213" s="1">
        <v>153.8461538</v>
      </c>
      <c r="AO213" s="1">
        <v>6</v>
      </c>
      <c r="AQ213" s="1">
        <v>573.17557</v>
      </c>
    </row>
    <row r="214" spans="1:43">
      <c r="A214" s="1">
        <v>0.265748774</v>
      </c>
      <c r="I214" s="1">
        <v>28</v>
      </c>
      <c r="P214" s="1">
        <v>2</v>
      </c>
      <c r="X214" s="1">
        <v>85</v>
      </c>
      <c r="AJ214" s="1">
        <v>2.699</v>
      </c>
      <c r="AM214" s="1">
        <v>1200</v>
      </c>
      <c r="AO214" s="1">
        <v>18</v>
      </c>
      <c r="AQ214" s="1">
        <v>1129.931405</v>
      </c>
    </row>
    <row r="215" spans="1:43">
      <c r="A215" s="1">
        <v>0.265748774</v>
      </c>
      <c r="I215" s="1">
        <v>28</v>
      </c>
      <c r="P215" s="1">
        <v>2</v>
      </c>
      <c r="X215" s="1">
        <v>85</v>
      </c>
      <c r="AJ215" s="1">
        <v>2.699</v>
      </c>
      <c r="AM215" s="1">
        <v>1200</v>
      </c>
      <c r="AO215" s="1">
        <v>18</v>
      </c>
      <c r="AQ215" s="1">
        <v>1129.931405</v>
      </c>
    </row>
    <row r="216" spans="1:43">
      <c r="A216" s="1">
        <v>0.265748774</v>
      </c>
      <c r="I216" s="1">
        <v>28</v>
      </c>
      <c r="P216" s="1">
        <v>2</v>
      </c>
      <c r="X216" s="1">
        <v>85</v>
      </c>
      <c r="AJ216" s="1">
        <v>2.699</v>
      </c>
      <c r="AM216" s="1">
        <v>1200</v>
      </c>
      <c r="AO216" s="1">
        <v>18</v>
      </c>
      <c r="AQ216" s="1">
        <v>1129.931405</v>
      </c>
    </row>
    <row r="217" spans="1:43">
      <c r="A217" s="1">
        <v>0.265748774</v>
      </c>
      <c r="I217" s="1">
        <v>28</v>
      </c>
      <c r="P217" s="1">
        <v>2</v>
      </c>
      <c r="X217" s="1">
        <v>85</v>
      </c>
      <c r="AJ217" s="1">
        <v>2.699</v>
      </c>
      <c r="AM217" s="1">
        <v>1200</v>
      </c>
      <c r="AO217" s="1">
        <v>18</v>
      </c>
      <c r="AQ217" s="1">
        <v>1129.931405</v>
      </c>
    </row>
    <row r="218" spans="1:43">
      <c r="A218" s="1">
        <v>0.265748774</v>
      </c>
      <c r="I218" s="1">
        <v>28</v>
      </c>
      <c r="P218" s="1">
        <v>2</v>
      </c>
      <c r="X218" s="1">
        <v>85</v>
      </c>
      <c r="AJ218" s="1">
        <v>2.699</v>
      </c>
      <c r="AM218" s="1">
        <v>1200</v>
      </c>
      <c r="AO218" s="1">
        <v>18</v>
      </c>
      <c r="AQ218" s="1">
        <v>1129.931405</v>
      </c>
    </row>
    <row r="219" spans="1:43">
      <c r="A219" s="1">
        <v>0.265748774</v>
      </c>
      <c r="I219" s="1">
        <v>28</v>
      </c>
      <c r="P219" s="1">
        <v>2</v>
      </c>
      <c r="X219" s="1">
        <v>85</v>
      </c>
      <c r="AJ219" s="1">
        <v>2.699</v>
      </c>
      <c r="AM219" s="1">
        <v>1200</v>
      </c>
      <c r="AO219" s="1">
        <v>18</v>
      </c>
      <c r="AQ219" s="1">
        <v>1129.931405</v>
      </c>
    </row>
    <row r="220" spans="1:43">
      <c r="A220" s="1">
        <v>0.265748774</v>
      </c>
      <c r="I220" s="1">
        <v>28</v>
      </c>
      <c r="P220" s="1">
        <v>2</v>
      </c>
      <c r="X220" s="1">
        <v>85</v>
      </c>
      <c r="AJ220" s="1">
        <v>2.699</v>
      </c>
      <c r="AM220" s="1">
        <v>1200</v>
      </c>
      <c r="AO220" s="1">
        <v>18</v>
      </c>
      <c r="AQ220" s="1">
        <v>1129.931405</v>
      </c>
    </row>
    <row r="221" spans="1:43">
      <c r="A221" s="1">
        <v>0.265748774</v>
      </c>
      <c r="I221" s="1">
        <v>28</v>
      </c>
      <c r="P221" s="1">
        <v>2</v>
      </c>
      <c r="X221" s="1">
        <v>85</v>
      </c>
      <c r="AJ221" s="1">
        <v>2.699</v>
      </c>
      <c r="AM221" s="1">
        <v>1200</v>
      </c>
      <c r="AO221" s="1">
        <v>18</v>
      </c>
      <c r="AQ221" s="1">
        <v>1129.931405</v>
      </c>
    </row>
    <row r="222" spans="1:43">
      <c r="A222" s="1">
        <v>0.265748774</v>
      </c>
      <c r="I222" s="1">
        <v>28</v>
      </c>
      <c r="P222" s="1">
        <v>2</v>
      </c>
      <c r="X222" s="1">
        <v>85</v>
      </c>
      <c r="AJ222" s="1">
        <v>2.699</v>
      </c>
      <c r="AM222" s="1">
        <v>1200</v>
      </c>
      <c r="AO222" s="1">
        <v>18</v>
      </c>
      <c r="AQ222" s="1">
        <v>1129.931405</v>
      </c>
    </row>
    <row r="223" spans="1:43">
      <c r="A223" s="1">
        <v>0.265748774</v>
      </c>
      <c r="I223" s="1">
        <v>28</v>
      </c>
      <c r="P223" s="1">
        <v>2</v>
      </c>
      <c r="X223" s="1">
        <v>85</v>
      </c>
      <c r="AJ223" s="1">
        <v>2.699</v>
      </c>
      <c r="AM223" s="1">
        <v>1200</v>
      </c>
      <c r="AO223" s="1">
        <v>18</v>
      </c>
      <c r="AQ223" s="1">
        <v>1129.931405</v>
      </c>
    </row>
    <row r="224" spans="1:43">
      <c r="A224" s="1">
        <v>0.265748774</v>
      </c>
      <c r="I224" s="1">
        <v>28</v>
      </c>
      <c r="P224" s="1">
        <v>2</v>
      </c>
      <c r="X224" s="1">
        <v>85</v>
      </c>
      <c r="AJ224" s="1">
        <v>2.699</v>
      </c>
      <c r="AM224" s="1">
        <v>1200</v>
      </c>
      <c r="AO224" s="1">
        <v>18</v>
      </c>
      <c r="AQ224" s="1">
        <v>1129.931405</v>
      </c>
    </row>
    <row r="225" spans="1:43">
      <c r="A225" s="1">
        <v>0.265748774</v>
      </c>
      <c r="I225" s="1">
        <v>28</v>
      </c>
      <c r="P225" s="1">
        <v>2</v>
      </c>
      <c r="X225" s="1">
        <v>85</v>
      </c>
      <c r="AJ225" s="1">
        <v>2.699</v>
      </c>
      <c r="AM225" s="1">
        <v>1200</v>
      </c>
      <c r="AO225" s="1">
        <v>18</v>
      </c>
      <c r="AQ225" s="1">
        <v>1129.931405</v>
      </c>
    </row>
    <row r="226" spans="1:43">
      <c r="A226" s="1">
        <v>0.265748774</v>
      </c>
      <c r="I226" s="1">
        <v>28</v>
      </c>
      <c r="P226" s="1">
        <v>1.6</v>
      </c>
      <c r="X226" s="1">
        <v>41</v>
      </c>
      <c r="AJ226" s="1">
        <v>1.3</v>
      </c>
      <c r="AM226" s="1">
        <v>1200</v>
      </c>
      <c r="AO226" s="1">
        <v>18</v>
      </c>
      <c r="AQ226" s="1">
        <v>1129.931405</v>
      </c>
    </row>
    <row r="227" spans="1:43">
      <c r="A227" s="1">
        <v>0.299985979</v>
      </c>
      <c r="I227" s="1">
        <v>7</v>
      </c>
      <c r="P227" s="1">
        <v>1.6</v>
      </c>
      <c r="X227" s="1">
        <v>41</v>
      </c>
      <c r="AJ227" s="1">
        <v>1.3</v>
      </c>
      <c r="AM227" s="1">
        <v>307.6923077</v>
      </c>
      <c r="AO227" s="1">
        <v>12</v>
      </c>
      <c r="AQ227" s="1">
        <v>313.819416</v>
      </c>
    </row>
    <row r="228" spans="1:43">
      <c r="A228" s="1">
        <v>0.299985979</v>
      </c>
      <c r="I228" s="1">
        <v>7</v>
      </c>
      <c r="P228" s="1">
        <v>1.6</v>
      </c>
      <c r="X228" s="1">
        <v>41</v>
      </c>
      <c r="AJ228" s="1">
        <v>1.3</v>
      </c>
      <c r="AM228" s="1">
        <v>307.6923077</v>
      </c>
      <c r="AO228" s="1">
        <v>12</v>
      </c>
      <c r="AQ228" s="1">
        <v>313.819416</v>
      </c>
    </row>
    <row r="229" spans="1:43">
      <c r="A229" s="1">
        <v>0.299985979</v>
      </c>
      <c r="I229" s="1">
        <v>7</v>
      </c>
      <c r="P229" s="1">
        <v>1.6</v>
      </c>
      <c r="X229" s="1">
        <v>41</v>
      </c>
      <c r="AJ229" s="1">
        <v>1.3</v>
      </c>
      <c r="AM229" s="1">
        <v>307.6923077</v>
      </c>
      <c r="AO229" s="1">
        <v>12</v>
      </c>
      <c r="AQ229" s="1">
        <v>313.819416</v>
      </c>
    </row>
    <row r="230" spans="1:43">
      <c r="A230" s="1">
        <v>0.299985979</v>
      </c>
      <c r="I230" s="1">
        <v>7</v>
      </c>
      <c r="P230" s="1">
        <v>1.6</v>
      </c>
      <c r="X230" s="1">
        <v>41</v>
      </c>
      <c r="AJ230" s="1">
        <v>1.3</v>
      </c>
      <c r="AM230" s="1">
        <v>307.6923077</v>
      </c>
      <c r="AO230" s="1">
        <v>12</v>
      </c>
      <c r="AQ230" s="1">
        <v>313.819416</v>
      </c>
    </row>
    <row r="231" spans="1:43">
      <c r="A231" s="1">
        <v>0.299985979</v>
      </c>
      <c r="I231" s="1">
        <v>7</v>
      </c>
      <c r="P231" s="1">
        <v>1.6</v>
      </c>
      <c r="X231" s="1">
        <v>41</v>
      </c>
      <c r="AJ231" s="1">
        <v>1.3</v>
      </c>
      <c r="AM231" s="1">
        <v>307.6923077</v>
      </c>
      <c r="AO231" s="1">
        <v>12</v>
      </c>
      <c r="AQ231" s="1">
        <v>313.819416</v>
      </c>
    </row>
    <row r="232" spans="1:43">
      <c r="A232" s="1">
        <v>0.299985979</v>
      </c>
      <c r="I232" s="1">
        <v>7</v>
      </c>
      <c r="P232" s="1">
        <v>1.6</v>
      </c>
      <c r="X232" s="1">
        <v>41</v>
      </c>
      <c r="AJ232" s="1">
        <v>1.3</v>
      </c>
      <c r="AM232" s="1">
        <v>307.6923077</v>
      </c>
      <c r="AO232" s="1">
        <v>12</v>
      </c>
      <c r="AQ232" s="1">
        <v>313.819416</v>
      </c>
    </row>
    <row r="233" spans="1:43">
      <c r="A233" s="1">
        <v>0.159996824</v>
      </c>
      <c r="I233" s="1">
        <v>28</v>
      </c>
      <c r="P233" s="1">
        <v>2.4</v>
      </c>
      <c r="X233" s="1">
        <v>200</v>
      </c>
      <c r="AJ233" s="1">
        <v>0.785</v>
      </c>
      <c r="AM233" s="1">
        <v>30</v>
      </c>
      <c r="AO233" s="1">
        <v>6</v>
      </c>
      <c r="AQ233" s="1">
        <v>957.821512</v>
      </c>
    </row>
    <row r="234" spans="1:43">
      <c r="A234" s="1">
        <v>0.159996824</v>
      </c>
      <c r="I234" s="1">
        <v>28</v>
      </c>
      <c r="P234" s="1">
        <v>2.4</v>
      </c>
      <c r="X234" s="1">
        <v>200</v>
      </c>
      <c r="AJ234" s="1">
        <v>0.785</v>
      </c>
      <c r="AM234" s="1">
        <v>30</v>
      </c>
      <c r="AO234" s="1">
        <v>6</v>
      </c>
      <c r="AQ234" s="1">
        <v>957.821512</v>
      </c>
    </row>
    <row r="235" spans="1:43">
      <c r="A235" s="1">
        <v>0.159996824</v>
      </c>
      <c r="I235" s="1">
        <v>28</v>
      </c>
      <c r="P235" s="1">
        <v>2.4</v>
      </c>
      <c r="X235" s="1">
        <v>200</v>
      </c>
      <c r="AJ235" s="1">
        <v>0.785</v>
      </c>
      <c r="AM235" s="1">
        <v>30</v>
      </c>
      <c r="AO235" s="1">
        <v>6</v>
      </c>
      <c r="AQ235" s="1">
        <v>957.821512</v>
      </c>
    </row>
    <row r="236" spans="1:43">
      <c r="A236" s="1">
        <v>0.159996824</v>
      </c>
      <c r="I236" s="1">
        <v>28</v>
      </c>
      <c r="P236" s="1">
        <v>2.4</v>
      </c>
      <c r="X236" s="1">
        <v>200</v>
      </c>
      <c r="AJ236" s="1">
        <v>0.785</v>
      </c>
      <c r="AM236" s="1">
        <v>30</v>
      </c>
      <c r="AO236" s="1">
        <v>6</v>
      </c>
      <c r="AQ236" s="1">
        <v>957.821512</v>
      </c>
    </row>
    <row r="237" spans="1:43">
      <c r="A237" s="1">
        <v>0.159996824</v>
      </c>
      <c r="I237" s="1">
        <v>28</v>
      </c>
      <c r="P237" s="1">
        <v>2.4</v>
      </c>
      <c r="X237" s="1">
        <v>200</v>
      </c>
      <c r="AJ237" s="1">
        <v>0.785</v>
      </c>
      <c r="AM237" s="1">
        <v>30</v>
      </c>
      <c r="AO237" s="1">
        <v>6</v>
      </c>
      <c r="AQ237" s="1">
        <v>957.821512</v>
      </c>
    </row>
    <row r="238" spans="1:43">
      <c r="A238" s="1">
        <v>0.159996824</v>
      </c>
      <c r="I238" s="1">
        <v>28</v>
      </c>
      <c r="P238" s="1">
        <v>2.4</v>
      </c>
      <c r="X238" s="1">
        <v>200</v>
      </c>
      <c r="AJ238" s="1">
        <v>0.785</v>
      </c>
      <c r="AM238" s="1">
        <v>30</v>
      </c>
      <c r="AO238" s="1">
        <v>6</v>
      </c>
      <c r="AQ238" s="1">
        <v>957.821512</v>
      </c>
    </row>
    <row r="239" spans="1:43">
      <c r="A239" s="1">
        <v>0.159996824</v>
      </c>
      <c r="I239" s="1">
        <v>28</v>
      </c>
      <c r="P239" s="1">
        <v>2.4</v>
      </c>
      <c r="X239" s="1">
        <v>200</v>
      </c>
      <c r="AJ239" s="1">
        <v>0.785</v>
      </c>
      <c r="AM239" s="1">
        <v>30</v>
      </c>
      <c r="AO239" s="1">
        <v>6</v>
      </c>
      <c r="AQ239" s="1">
        <v>957.821512</v>
      </c>
    </row>
    <row r="240" spans="1:43">
      <c r="A240" s="1">
        <v>0.159996824</v>
      </c>
      <c r="I240" s="1">
        <v>28</v>
      </c>
      <c r="P240" s="1">
        <v>2.4</v>
      </c>
      <c r="X240" s="1">
        <v>200</v>
      </c>
      <c r="AJ240" s="1">
        <v>0.785</v>
      </c>
      <c r="AM240" s="1">
        <v>30</v>
      </c>
      <c r="AO240" s="1">
        <v>6</v>
      </c>
      <c r="AQ240" s="1">
        <v>957.821512</v>
      </c>
    </row>
    <row r="241" spans="1:43">
      <c r="A241" s="1">
        <v>0.159996824</v>
      </c>
      <c r="I241" s="1">
        <v>28</v>
      </c>
      <c r="P241" s="1">
        <v>2.4</v>
      </c>
      <c r="X241" s="1">
        <v>200</v>
      </c>
      <c r="AJ241" s="1">
        <v>0.785</v>
      </c>
      <c r="AM241" s="1">
        <v>30</v>
      </c>
      <c r="AO241" s="1">
        <v>6</v>
      </c>
      <c r="AQ241" s="1">
        <v>957.821512</v>
      </c>
    </row>
    <row r="242" spans="1:43">
      <c r="A242" s="1">
        <v>0.159996824</v>
      </c>
      <c r="I242" s="1">
        <v>28</v>
      </c>
      <c r="P242" s="1">
        <v>2.4</v>
      </c>
      <c r="X242" s="1">
        <v>200</v>
      </c>
      <c r="AJ242" s="1">
        <v>0.785</v>
      </c>
      <c r="AM242" s="1">
        <v>30</v>
      </c>
      <c r="AO242" s="1">
        <v>6</v>
      </c>
      <c r="AQ242" s="1">
        <v>957.821512</v>
      </c>
    </row>
    <row r="243" spans="1:43">
      <c r="A243" s="1">
        <v>0.159996824</v>
      </c>
      <c r="I243" s="1">
        <v>28</v>
      </c>
      <c r="P243" s="1">
        <v>2.4</v>
      </c>
      <c r="X243" s="1">
        <v>200</v>
      </c>
      <c r="AJ243" s="1">
        <v>0.785</v>
      </c>
      <c r="AM243" s="1">
        <v>30</v>
      </c>
      <c r="AO243" s="1">
        <v>6</v>
      </c>
      <c r="AQ243" s="1">
        <v>957.821512</v>
      </c>
    </row>
    <row r="244" spans="1:43">
      <c r="A244" s="1">
        <v>0.159996824</v>
      </c>
      <c r="I244" s="1">
        <v>28</v>
      </c>
      <c r="P244" s="1">
        <v>2.4</v>
      </c>
      <c r="X244" s="1">
        <v>200</v>
      </c>
      <c r="AJ244" s="1">
        <v>0.785</v>
      </c>
      <c r="AM244" s="1">
        <v>30</v>
      </c>
      <c r="AO244" s="1">
        <v>6</v>
      </c>
      <c r="AQ244" s="1">
        <v>957.821512</v>
      </c>
    </row>
    <row r="245" spans="1:43">
      <c r="A245" s="1">
        <v>0.159996824</v>
      </c>
      <c r="I245" s="1">
        <v>28</v>
      </c>
      <c r="P245" s="1">
        <v>2.4</v>
      </c>
      <c r="X245" s="1">
        <v>200</v>
      </c>
      <c r="AJ245" s="1">
        <v>0.785</v>
      </c>
      <c r="AM245" s="1">
        <v>30</v>
      </c>
      <c r="AO245" s="1">
        <v>6</v>
      </c>
      <c r="AQ245" s="1">
        <v>957.821512</v>
      </c>
    </row>
    <row r="246" spans="1:43">
      <c r="A246" s="1">
        <v>0.159996824</v>
      </c>
      <c r="I246" s="1">
        <v>28</v>
      </c>
      <c r="P246" s="1">
        <v>2.4</v>
      </c>
      <c r="X246" s="1">
        <v>200</v>
      </c>
      <c r="AJ246" s="1">
        <v>0.785</v>
      </c>
      <c r="AM246" s="1">
        <v>30</v>
      </c>
      <c r="AO246" s="1">
        <v>6</v>
      </c>
      <c r="AQ246" s="1">
        <v>957.821512</v>
      </c>
    </row>
    <row r="247" spans="1:43">
      <c r="A247" s="1">
        <v>0.159996824</v>
      </c>
      <c r="I247" s="1">
        <v>28</v>
      </c>
      <c r="P247" s="1">
        <v>2.4</v>
      </c>
      <c r="X247" s="1">
        <v>200</v>
      </c>
      <c r="AJ247" s="1">
        <v>0.785</v>
      </c>
      <c r="AM247" s="1">
        <v>30</v>
      </c>
      <c r="AO247" s="1">
        <v>6</v>
      </c>
      <c r="AQ247" s="1">
        <v>957.821512</v>
      </c>
    </row>
    <row r="248" spans="1:43">
      <c r="A248" s="1">
        <v>0.159996824</v>
      </c>
      <c r="I248" s="1">
        <v>28</v>
      </c>
      <c r="P248" s="1">
        <v>2.4</v>
      </c>
      <c r="X248" s="1">
        <v>200</v>
      </c>
      <c r="AJ248" s="1">
        <v>0.785</v>
      </c>
      <c r="AM248" s="1">
        <v>30</v>
      </c>
      <c r="AO248" s="1">
        <v>6</v>
      </c>
      <c r="AQ248" s="1">
        <v>957.821512</v>
      </c>
    </row>
    <row r="249" spans="1:43">
      <c r="A249" s="1">
        <v>0.159996824</v>
      </c>
      <c r="I249" s="1">
        <v>28</v>
      </c>
      <c r="P249" s="1">
        <v>2.4</v>
      </c>
      <c r="X249" s="1">
        <v>200</v>
      </c>
      <c r="AJ249" s="1">
        <v>0.785</v>
      </c>
      <c r="AM249" s="1">
        <v>30</v>
      </c>
      <c r="AO249" s="1">
        <v>6</v>
      </c>
      <c r="AQ249" s="1">
        <v>957.821512</v>
      </c>
    </row>
    <row r="250" spans="1:43">
      <c r="A250" s="1">
        <v>0.159996824</v>
      </c>
      <c r="I250" s="1">
        <v>28</v>
      </c>
      <c r="P250" s="1">
        <v>2.4</v>
      </c>
      <c r="X250" s="1">
        <v>200</v>
      </c>
      <c r="AJ250" s="1">
        <v>0.785</v>
      </c>
      <c r="AM250" s="1">
        <v>30</v>
      </c>
      <c r="AO250" s="1">
        <v>6</v>
      </c>
      <c r="AQ250" s="1">
        <v>957.821512</v>
      </c>
    </row>
    <row r="251" spans="1:43">
      <c r="A251" s="1">
        <v>0.159996824</v>
      </c>
      <c r="I251" s="1">
        <v>28</v>
      </c>
      <c r="P251" s="1">
        <v>2.4</v>
      </c>
      <c r="X251" s="1">
        <v>200</v>
      </c>
      <c r="AJ251" s="1">
        <v>0.785</v>
      </c>
      <c r="AM251" s="1">
        <v>30</v>
      </c>
      <c r="AO251" s="1">
        <v>6</v>
      </c>
      <c r="AQ251" s="1">
        <v>957.821512</v>
      </c>
    </row>
    <row r="252" spans="1:43">
      <c r="A252" s="1">
        <v>0.159996824</v>
      </c>
      <c r="I252" s="1">
        <v>28</v>
      </c>
      <c r="P252" s="1">
        <v>2.4</v>
      </c>
      <c r="X252" s="1">
        <v>200</v>
      </c>
      <c r="AJ252" s="1">
        <v>0.785</v>
      </c>
      <c r="AM252" s="1">
        <v>30</v>
      </c>
      <c r="AO252" s="1">
        <v>6</v>
      </c>
      <c r="AQ252" s="1">
        <v>957.821512</v>
      </c>
    </row>
    <row r="253" spans="1:43">
      <c r="A253" s="1">
        <v>0.159996824</v>
      </c>
      <c r="I253" s="1">
        <v>28</v>
      </c>
      <c r="P253" s="1">
        <v>2.4</v>
      </c>
      <c r="X253" s="1">
        <v>200</v>
      </c>
      <c r="AJ253" s="1">
        <v>0.785</v>
      </c>
      <c r="AM253" s="1">
        <v>30</v>
      </c>
      <c r="AO253" s="1">
        <v>6</v>
      </c>
      <c r="AQ253" s="1">
        <v>957.821512</v>
      </c>
    </row>
    <row r="254" spans="1:43">
      <c r="A254" s="1">
        <v>0.159996824</v>
      </c>
      <c r="I254" s="1">
        <v>28</v>
      </c>
      <c r="P254" s="1">
        <v>2.4</v>
      </c>
      <c r="X254" s="1">
        <v>200</v>
      </c>
      <c r="AJ254" s="1">
        <v>0.785</v>
      </c>
      <c r="AM254" s="1">
        <v>30</v>
      </c>
      <c r="AO254" s="1">
        <v>6</v>
      </c>
      <c r="AQ254" s="1">
        <v>957.821512</v>
      </c>
    </row>
    <row r="255" spans="1:43">
      <c r="A255" s="1">
        <v>0.159996824</v>
      </c>
      <c r="I255" s="1">
        <v>28</v>
      </c>
      <c r="P255" s="1">
        <v>2.4</v>
      </c>
      <c r="X255" s="1">
        <v>200</v>
      </c>
      <c r="AJ255" s="1">
        <v>0.785</v>
      </c>
      <c r="AM255" s="1">
        <v>30</v>
      </c>
      <c r="AO255" s="1">
        <v>6</v>
      </c>
      <c r="AQ255" s="1">
        <v>957.821512</v>
      </c>
    </row>
    <row r="256" spans="1:43">
      <c r="A256" s="1">
        <v>0.159996824</v>
      </c>
      <c r="I256" s="1">
        <v>28</v>
      </c>
      <c r="P256" s="1">
        <v>2.4</v>
      </c>
      <c r="X256" s="1">
        <v>200</v>
      </c>
      <c r="AJ256" s="1">
        <v>0.785</v>
      </c>
      <c r="AM256" s="1">
        <v>30</v>
      </c>
      <c r="AO256" s="1">
        <v>6</v>
      </c>
      <c r="AQ256" s="1">
        <v>957.821512</v>
      </c>
    </row>
    <row r="257" spans="1:43">
      <c r="A257" s="1">
        <v>0.159996824</v>
      </c>
      <c r="I257" s="1">
        <v>28</v>
      </c>
      <c r="P257" s="1">
        <v>2.4</v>
      </c>
      <c r="X257" s="1">
        <v>200</v>
      </c>
      <c r="AJ257" s="1">
        <v>0.785</v>
      </c>
      <c r="AM257" s="1">
        <v>30</v>
      </c>
      <c r="AO257" s="1">
        <v>6</v>
      </c>
      <c r="AQ257" s="1">
        <v>957.821512</v>
      </c>
    </row>
    <row r="258" spans="1:43">
      <c r="A258" s="1">
        <v>0.159996824</v>
      </c>
      <c r="I258" s="1">
        <v>28</v>
      </c>
      <c r="P258" s="1">
        <v>2.4</v>
      </c>
      <c r="X258" s="1">
        <v>200</v>
      </c>
      <c r="AJ258" s="1">
        <v>0.785</v>
      </c>
      <c r="AM258" s="1">
        <v>30</v>
      </c>
      <c r="AO258" s="1">
        <v>6</v>
      </c>
      <c r="AQ258" s="1">
        <v>957.821512</v>
      </c>
    </row>
    <row r="259" spans="1:43">
      <c r="A259" s="1">
        <v>0.159996824</v>
      </c>
      <c r="I259" s="1">
        <v>28</v>
      </c>
      <c r="P259" s="1">
        <v>2.4</v>
      </c>
      <c r="X259" s="1">
        <v>200</v>
      </c>
      <c r="AJ259" s="1">
        <v>0.785</v>
      </c>
      <c r="AM259" s="1">
        <v>30</v>
      </c>
      <c r="AO259" s="1">
        <v>6</v>
      </c>
      <c r="AQ259" s="1">
        <v>957.821512</v>
      </c>
    </row>
    <row r="260" spans="1:43">
      <c r="A260" s="1">
        <v>0.35</v>
      </c>
      <c r="I260" s="1">
        <v>28</v>
      </c>
      <c r="P260" s="1">
        <v>0.88</v>
      </c>
      <c r="X260" s="1">
        <v>13.2</v>
      </c>
      <c r="AJ260" s="1">
        <v>0.9</v>
      </c>
      <c r="AM260" s="1">
        <v>0</v>
      </c>
      <c r="AO260" s="1">
        <v>0</v>
      </c>
      <c r="AQ260" s="1">
        <v>477.3546834</v>
      </c>
    </row>
    <row r="261" spans="1:43">
      <c r="A261" s="1">
        <v>0.35</v>
      </c>
      <c r="I261" s="1">
        <v>28</v>
      </c>
      <c r="P261" s="1">
        <v>0.88</v>
      </c>
      <c r="X261" s="1">
        <v>13.2</v>
      </c>
      <c r="AJ261" s="1">
        <v>0.9</v>
      </c>
      <c r="AM261" s="1">
        <v>0</v>
      </c>
      <c r="AO261" s="1">
        <v>0</v>
      </c>
      <c r="AQ261" s="1">
        <v>477.3546834</v>
      </c>
    </row>
    <row r="262" spans="1:43">
      <c r="A262" s="1">
        <v>0.35</v>
      </c>
      <c r="I262" s="1">
        <v>28</v>
      </c>
      <c r="P262" s="1">
        <v>0.88</v>
      </c>
      <c r="X262" s="1">
        <v>13.2</v>
      </c>
      <c r="AJ262" s="1">
        <v>0.9</v>
      </c>
      <c r="AM262" s="1">
        <v>0</v>
      </c>
      <c r="AO262" s="1">
        <v>0</v>
      </c>
      <c r="AQ262" s="1">
        <v>477.3546834</v>
      </c>
    </row>
    <row r="263" spans="1:43">
      <c r="A263" s="1">
        <v>0.35</v>
      </c>
      <c r="I263" s="1">
        <v>28</v>
      </c>
      <c r="P263" s="1">
        <v>0.88</v>
      </c>
      <c r="X263" s="1">
        <v>13.2</v>
      </c>
      <c r="AJ263" s="1">
        <v>0.9</v>
      </c>
      <c r="AM263" s="1">
        <v>85.71428571</v>
      </c>
      <c r="AO263" s="1">
        <v>3</v>
      </c>
      <c r="AQ263" s="1">
        <v>477.3546834</v>
      </c>
    </row>
    <row r="264" spans="1:43">
      <c r="A264" s="1">
        <v>0.35</v>
      </c>
      <c r="I264" s="1">
        <v>28</v>
      </c>
      <c r="P264" s="1">
        <v>0.88</v>
      </c>
      <c r="X264" s="1">
        <v>13.2</v>
      </c>
      <c r="AJ264" s="1">
        <v>0.9</v>
      </c>
      <c r="AM264" s="1">
        <v>85.71428571</v>
      </c>
      <c r="AO264" s="1">
        <v>3</v>
      </c>
      <c r="AQ264" s="1">
        <v>477.3546834</v>
      </c>
    </row>
    <row r="265" spans="1:43">
      <c r="A265" s="1">
        <v>0.35</v>
      </c>
      <c r="I265" s="1">
        <v>28</v>
      </c>
      <c r="P265" s="1">
        <v>0.88</v>
      </c>
      <c r="X265" s="1">
        <v>13.2</v>
      </c>
      <c r="AJ265" s="1">
        <v>0.9</v>
      </c>
      <c r="AM265" s="1">
        <v>85.71428571</v>
      </c>
      <c r="AO265" s="1">
        <v>3</v>
      </c>
      <c r="AQ265" s="1">
        <v>477.3546834</v>
      </c>
    </row>
    <row r="266" spans="1:43">
      <c r="A266" s="1">
        <v>0.35</v>
      </c>
      <c r="I266" s="1">
        <v>28</v>
      </c>
      <c r="P266" s="1">
        <v>0.88</v>
      </c>
      <c r="X266" s="1">
        <v>13.2</v>
      </c>
      <c r="AJ266" s="1">
        <v>0.9</v>
      </c>
      <c r="AM266" s="1">
        <v>85.71428571</v>
      </c>
      <c r="AO266" s="1">
        <v>3</v>
      </c>
      <c r="AQ266" s="1">
        <v>477.3546834</v>
      </c>
    </row>
    <row r="267" spans="1:43">
      <c r="A267" s="1">
        <v>0.35</v>
      </c>
      <c r="I267" s="1">
        <v>28</v>
      </c>
      <c r="P267" s="1">
        <v>0.88</v>
      </c>
      <c r="X267" s="1">
        <v>13.2</v>
      </c>
      <c r="AJ267" s="1">
        <v>0.9</v>
      </c>
      <c r="AM267" s="1">
        <v>85.71428571</v>
      </c>
      <c r="AO267" s="1">
        <v>3</v>
      </c>
      <c r="AQ267" s="1">
        <v>477.3546834</v>
      </c>
    </row>
    <row r="268" spans="1:43">
      <c r="A268" s="1">
        <v>0.35</v>
      </c>
      <c r="I268" s="1">
        <v>28</v>
      </c>
      <c r="P268" s="1">
        <v>0.88</v>
      </c>
      <c r="X268" s="1">
        <v>13.2</v>
      </c>
      <c r="AJ268" s="1">
        <v>0.9</v>
      </c>
      <c r="AM268" s="1">
        <v>85.71428571</v>
      </c>
      <c r="AO268" s="1">
        <v>3</v>
      </c>
      <c r="AQ268" s="1">
        <v>477.3546834</v>
      </c>
    </row>
    <row r="269" spans="1:43">
      <c r="A269" s="1">
        <v>0.35</v>
      </c>
      <c r="I269" s="1">
        <v>28</v>
      </c>
      <c r="P269" s="1">
        <v>0.88</v>
      </c>
      <c r="X269" s="1">
        <v>13.2</v>
      </c>
      <c r="AJ269" s="1">
        <v>0.9</v>
      </c>
      <c r="AM269" s="1">
        <v>171.4285714</v>
      </c>
      <c r="AO269" s="1">
        <v>6</v>
      </c>
      <c r="AQ269" s="1">
        <v>477.3546834</v>
      </c>
    </row>
    <row r="270" spans="1:43">
      <c r="A270" s="1">
        <v>0.35</v>
      </c>
      <c r="I270" s="1">
        <v>28</v>
      </c>
      <c r="P270" s="1">
        <v>0.88</v>
      </c>
      <c r="X270" s="1">
        <v>13.2</v>
      </c>
      <c r="AJ270" s="1">
        <v>0.9</v>
      </c>
      <c r="AM270" s="1">
        <v>171.4285714</v>
      </c>
      <c r="AO270" s="1">
        <v>6</v>
      </c>
      <c r="AQ270" s="1">
        <v>477.3546834</v>
      </c>
    </row>
    <row r="271" spans="1:43">
      <c r="A271" s="1">
        <v>0.35</v>
      </c>
      <c r="I271" s="1">
        <v>28</v>
      </c>
      <c r="P271" s="1">
        <v>0.88</v>
      </c>
      <c r="X271" s="1">
        <v>13.2</v>
      </c>
      <c r="AJ271" s="1">
        <v>0.9</v>
      </c>
      <c r="AM271" s="1">
        <v>171.4285714</v>
      </c>
      <c r="AO271" s="1">
        <v>6</v>
      </c>
      <c r="AQ271" s="1">
        <v>477.3546834</v>
      </c>
    </row>
    <row r="272" spans="1:43">
      <c r="A272" s="1">
        <v>0.35</v>
      </c>
      <c r="I272" s="1">
        <v>28</v>
      </c>
      <c r="P272" s="1">
        <v>0.88</v>
      </c>
      <c r="X272" s="1">
        <v>13.2</v>
      </c>
      <c r="AJ272" s="1">
        <v>0.9</v>
      </c>
      <c r="AM272" s="1">
        <v>171.4285714</v>
      </c>
      <c r="AO272" s="1">
        <v>6</v>
      </c>
      <c r="AQ272" s="1">
        <v>477.3546834</v>
      </c>
    </row>
    <row r="273" spans="1:43">
      <c r="A273" s="1">
        <v>0.35</v>
      </c>
      <c r="I273" s="1">
        <v>28</v>
      </c>
      <c r="P273" s="1">
        <v>0.88</v>
      </c>
      <c r="X273" s="1">
        <v>13.2</v>
      </c>
      <c r="AJ273" s="1">
        <v>0.9</v>
      </c>
      <c r="AM273" s="1">
        <v>171.4285714</v>
      </c>
      <c r="AO273" s="1">
        <v>6</v>
      </c>
      <c r="AQ273" s="1">
        <v>477.3546834</v>
      </c>
    </row>
    <row r="274" spans="1:43">
      <c r="A274" s="1">
        <v>0.35</v>
      </c>
      <c r="I274" s="1">
        <v>28</v>
      </c>
      <c r="P274" s="1">
        <v>0.88</v>
      </c>
      <c r="X274" s="1">
        <v>13.2</v>
      </c>
      <c r="AJ274" s="1">
        <v>0.9</v>
      </c>
      <c r="AM274" s="1">
        <v>171.4285714</v>
      </c>
      <c r="AO274" s="1">
        <v>6</v>
      </c>
      <c r="AQ274" s="1">
        <v>477.3546834</v>
      </c>
    </row>
    <row r="275" spans="1:43">
      <c r="A275" s="1">
        <v>0.349973726</v>
      </c>
      <c r="I275" s="1">
        <v>28</v>
      </c>
      <c r="P275" s="1">
        <v>2.9</v>
      </c>
      <c r="X275" s="1">
        <v>116</v>
      </c>
      <c r="AJ275" s="1">
        <v>0.97</v>
      </c>
      <c r="AM275" s="1">
        <v>300</v>
      </c>
      <c r="AO275" s="1">
        <v>6</v>
      </c>
      <c r="AQ275" s="1">
        <v>894.928886</v>
      </c>
    </row>
    <row r="276" spans="1:43">
      <c r="A276" s="1">
        <v>0.349973726</v>
      </c>
      <c r="I276" s="1">
        <v>28</v>
      </c>
      <c r="P276" s="1">
        <v>2.9</v>
      </c>
      <c r="X276" s="1">
        <v>116</v>
      </c>
      <c r="AJ276" s="1">
        <v>0.97</v>
      </c>
      <c r="AM276" s="1">
        <v>300</v>
      </c>
      <c r="AO276" s="1">
        <v>6</v>
      </c>
      <c r="AQ276" s="1">
        <v>894.928886</v>
      </c>
    </row>
    <row r="277" spans="1:43">
      <c r="A277" s="1">
        <v>0.349973726</v>
      </c>
      <c r="I277" s="1">
        <v>28</v>
      </c>
      <c r="P277" s="1">
        <v>2.9</v>
      </c>
      <c r="X277" s="1">
        <v>116</v>
      </c>
      <c r="AJ277" s="1">
        <v>0.97</v>
      </c>
      <c r="AM277" s="1">
        <v>300</v>
      </c>
      <c r="AO277" s="1">
        <v>6</v>
      </c>
      <c r="AQ277" s="1">
        <v>894.928886</v>
      </c>
    </row>
    <row r="278" spans="1:43">
      <c r="A278" s="1">
        <v>0.349973726</v>
      </c>
      <c r="I278" s="1">
        <v>28</v>
      </c>
      <c r="P278" s="1">
        <v>2.9</v>
      </c>
      <c r="X278" s="1">
        <v>116</v>
      </c>
      <c r="AJ278" s="1">
        <v>0.97</v>
      </c>
      <c r="AM278" s="1">
        <v>600</v>
      </c>
      <c r="AO278" s="1">
        <v>12</v>
      </c>
      <c r="AQ278" s="1">
        <v>894.928886</v>
      </c>
    </row>
    <row r="279" spans="1:43">
      <c r="A279" s="1">
        <v>0.349973726</v>
      </c>
      <c r="I279" s="1">
        <v>28</v>
      </c>
      <c r="P279" s="1">
        <v>2.9</v>
      </c>
      <c r="X279" s="1">
        <v>116</v>
      </c>
      <c r="AJ279" s="1">
        <v>0.97</v>
      </c>
      <c r="AM279" s="1">
        <v>600</v>
      </c>
      <c r="AO279" s="1">
        <v>12</v>
      </c>
      <c r="AQ279" s="1">
        <v>894.928886</v>
      </c>
    </row>
    <row r="280" spans="1:43">
      <c r="A280" s="1">
        <v>0.349973726</v>
      </c>
      <c r="I280" s="1">
        <v>28</v>
      </c>
      <c r="P280" s="1">
        <v>2.9</v>
      </c>
      <c r="X280" s="1">
        <v>116</v>
      </c>
      <c r="AJ280" s="1">
        <v>0.97</v>
      </c>
      <c r="AM280" s="1">
        <v>600</v>
      </c>
      <c r="AO280" s="1">
        <v>12</v>
      </c>
      <c r="AQ280" s="1">
        <v>894.928886</v>
      </c>
    </row>
    <row r="281" spans="1:43">
      <c r="A281" s="1">
        <v>0.349973726</v>
      </c>
      <c r="I281" s="1">
        <v>28</v>
      </c>
      <c r="P281" s="1">
        <v>2.9</v>
      </c>
      <c r="X281" s="1">
        <v>116</v>
      </c>
      <c r="AJ281" s="1">
        <v>0.97</v>
      </c>
      <c r="AM281" s="1">
        <v>300</v>
      </c>
      <c r="AO281" s="1">
        <v>6</v>
      </c>
      <c r="AQ281" s="1">
        <v>894.928886</v>
      </c>
    </row>
    <row r="282" spans="1:43">
      <c r="A282" s="1">
        <v>0.349973726</v>
      </c>
      <c r="I282" s="1">
        <v>28</v>
      </c>
      <c r="P282" s="1">
        <v>2.9</v>
      </c>
      <c r="X282" s="1">
        <v>116</v>
      </c>
      <c r="AJ282" s="1">
        <v>0.97</v>
      </c>
      <c r="AM282" s="1">
        <v>300</v>
      </c>
      <c r="AO282" s="1">
        <v>6</v>
      </c>
      <c r="AQ282" s="1">
        <v>894.928886</v>
      </c>
    </row>
    <row r="283" spans="1:43">
      <c r="A283" s="1">
        <v>0.349973726</v>
      </c>
      <c r="I283" s="1">
        <v>28</v>
      </c>
      <c r="P283" s="1">
        <v>2.9</v>
      </c>
      <c r="X283" s="1">
        <v>116</v>
      </c>
      <c r="AJ283" s="1">
        <v>0.97</v>
      </c>
      <c r="AM283" s="1">
        <v>300</v>
      </c>
      <c r="AO283" s="1">
        <v>6</v>
      </c>
      <c r="AQ283" s="1">
        <v>894.928886</v>
      </c>
    </row>
    <row r="284" spans="1:43">
      <c r="A284" s="1">
        <v>0.349973726</v>
      </c>
      <c r="I284" s="1">
        <v>28</v>
      </c>
      <c r="P284" s="1">
        <v>2.9</v>
      </c>
      <c r="X284" s="1">
        <v>116</v>
      </c>
      <c r="AJ284" s="1">
        <v>0.97</v>
      </c>
      <c r="AM284" s="1">
        <v>600</v>
      </c>
      <c r="AO284" s="1">
        <v>12</v>
      </c>
      <c r="AQ284" s="1">
        <v>894.928886</v>
      </c>
    </row>
    <row r="285" spans="1:43">
      <c r="A285" s="1">
        <v>0.349973726</v>
      </c>
      <c r="I285" s="1">
        <v>28</v>
      </c>
      <c r="P285" s="1">
        <v>2.9</v>
      </c>
      <c r="X285" s="1">
        <v>116</v>
      </c>
      <c r="AJ285" s="1">
        <v>0.97</v>
      </c>
      <c r="AM285" s="1">
        <v>600</v>
      </c>
      <c r="AO285" s="1">
        <v>12</v>
      </c>
      <c r="AQ285" s="1">
        <v>894.928886</v>
      </c>
    </row>
    <row r="286" spans="1:43">
      <c r="A286" s="1">
        <v>0.349973726</v>
      </c>
      <c r="I286" s="1">
        <v>28</v>
      </c>
      <c r="P286" s="1">
        <v>2.9</v>
      </c>
      <c r="X286" s="1">
        <v>116</v>
      </c>
      <c r="AJ286" s="1">
        <v>0.97</v>
      </c>
      <c r="AM286" s="1">
        <v>600</v>
      </c>
      <c r="AO286" s="1">
        <v>12</v>
      </c>
      <c r="AQ286" s="1">
        <v>894.928886</v>
      </c>
    </row>
    <row r="287" spans="1:43">
      <c r="A287" s="1">
        <v>0.349973726</v>
      </c>
      <c r="I287" s="1">
        <v>28</v>
      </c>
      <c r="P287" s="1">
        <v>2.9</v>
      </c>
      <c r="X287" s="1">
        <v>116</v>
      </c>
      <c r="AJ287" s="1">
        <v>0.97</v>
      </c>
      <c r="AM287" s="1">
        <v>300</v>
      </c>
      <c r="AO287" s="1">
        <v>6</v>
      </c>
      <c r="AQ287" s="1">
        <v>894.928886</v>
      </c>
    </row>
    <row r="288" spans="1:43">
      <c r="A288" s="1">
        <v>0.349973726</v>
      </c>
      <c r="I288" s="1">
        <v>28</v>
      </c>
      <c r="P288" s="1">
        <v>2.9</v>
      </c>
      <c r="X288" s="1">
        <v>116</v>
      </c>
      <c r="AJ288" s="1">
        <v>0.97</v>
      </c>
      <c r="AM288" s="1">
        <v>300</v>
      </c>
      <c r="AO288" s="1">
        <v>6</v>
      </c>
      <c r="AQ288" s="1">
        <v>894.928886</v>
      </c>
    </row>
    <row r="289" spans="1:43">
      <c r="A289" s="1">
        <v>0.349973726</v>
      </c>
      <c r="I289" s="1">
        <v>28</v>
      </c>
      <c r="P289" s="1">
        <v>2.9</v>
      </c>
      <c r="X289" s="1">
        <v>116</v>
      </c>
      <c r="AJ289" s="1">
        <v>0.97</v>
      </c>
      <c r="AM289" s="1">
        <v>300</v>
      </c>
      <c r="AO289" s="1">
        <v>6</v>
      </c>
      <c r="AQ289" s="1">
        <v>894.928886</v>
      </c>
    </row>
    <row r="290" spans="1:43">
      <c r="A290" s="1">
        <v>0.349973726</v>
      </c>
      <c r="I290" s="1">
        <v>28</v>
      </c>
      <c r="P290" s="1">
        <v>2.9</v>
      </c>
      <c r="X290" s="1">
        <v>116</v>
      </c>
      <c r="AJ290" s="1">
        <v>0.97</v>
      </c>
      <c r="AM290" s="1">
        <v>600</v>
      </c>
      <c r="AO290" s="1">
        <v>12</v>
      </c>
      <c r="AQ290" s="1">
        <v>894.928886</v>
      </c>
    </row>
    <row r="291" spans="1:43">
      <c r="A291" s="1">
        <v>0.349973726</v>
      </c>
      <c r="I291" s="1">
        <v>28</v>
      </c>
      <c r="P291" s="1">
        <v>2.9</v>
      </c>
      <c r="X291" s="1">
        <v>116</v>
      </c>
      <c r="AJ291" s="1">
        <v>0.97</v>
      </c>
      <c r="AM291" s="1">
        <v>600</v>
      </c>
      <c r="AO291" s="1">
        <v>12</v>
      </c>
      <c r="AQ291" s="1">
        <v>894.928886</v>
      </c>
    </row>
    <row r="292" spans="1:43">
      <c r="A292" s="1">
        <v>0.349973726</v>
      </c>
      <c r="I292" s="1">
        <v>28</v>
      </c>
      <c r="P292" s="1">
        <v>2.9</v>
      </c>
      <c r="X292" s="1">
        <v>116</v>
      </c>
      <c r="AJ292" s="1">
        <v>0.97</v>
      </c>
      <c r="AM292" s="1">
        <v>600</v>
      </c>
      <c r="AO292" s="1">
        <v>12</v>
      </c>
      <c r="AQ292" s="1">
        <v>894.928886</v>
      </c>
    </row>
    <row r="293" spans="1:43">
      <c r="A293" s="1">
        <v>0.349973726</v>
      </c>
      <c r="I293" s="1">
        <v>28</v>
      </c>
      <c r="P293" s="1">
        <v>2.9</v>
      </c>
      <c r="X293" s="1">
        <v>116</v>
      </c>
      <c r="AJ293" s="1">
        <v>0.97</v>
      </c>
      <c r="AM293" s="1">
        <v>300</v>
      </c>
      <c r="AO293" s="1">
        <v>6</v>
      </c>
      <c r="AQ293" s="1">
        <v>894.928886</v>
      </c>
    </row>
    <row r="294" spans="1:43">
      <c r="A294" s="1">
        <v>0.349973726</v>
      </c>
      <c r="I294" s="1">
        <v>28</v>
      </c>
      <c r="P294" s="1">
        <v>2.9</v>
      </c>
      <c r="X294" s="1">
        <v>116</v>
      </c>
      <c r="AJ294" s="1">
        <v>0.97</v>
      </c>
      <c r="AM294" s="1">
        <v>300</v>
      </c>
      <c r="AO294" s="1">
        <v>6</v>
      </c>
      <c r="AQ294" s="1">
        <v>894.928886</v>
      </c>
    </row>
    <row r="295" spans="1:43">
      <c r="A295" s="1">
        <v>0.349973726</v>
      </c>
      <c r="I295" s="1">
        <v>28</v>
      </c>
      <c r="P295" s="1">
        <v>2.9</v>
      </c>
      <c r="X295" s="1">
        <v>116</v>
      </c>
      <c r="AJ295" s="1">
        <v>0.97</v>
      </c>
      <c r="AM295" s="1">
        <v>300</v>
      </c>
      <c r="AO295" s="1">
        <v>6</v>
      </c>
      <c r="AQ295" s="1">
        <v>894.928886</v>
      </c>
    </row>
    <row r="296" spans="1:43">
      <c r="A296" s="1">
        <v>0.349973726</v>
      </c>
      <c r="I296" s="1">
        <v>28</v>
      </c>
      <c r="P296" s="1">
        <v>2.9</v>
      </c>
      <c r="X296" s="1">
        <v>116</v>
      </c>
      <c r="AJ296" s="1">
        <v>0.97</v>
      </c>
      <c r="AM296" s="1">
        <v>600</v>
      </c>
      <c r="AO296" s="1">
        <v>12</v>
      </c>
      <c r="AQ296" s="1">
        <v>894.928886</v>
      </c>
    </row>
    <row r="297" spans="1:43">
      <c r="A297" s="1">
        <v>0.349973726</v>
      </c>
      <c r="I297" s="1">
        <v>28</v>
      </c>
      <c r="P297" s="1">
        <v>2.9</v>
      </c>
      <c r="X297" s="1">
        <v>116</v>
      </c>
      <c r="AJ297" s="1">
        <v>0.97</v>
      </c>
      <c r="AM297" s="1">
        <v>600</v>
      </c>
      <c r="AO297" s="1">
        <v>12</v>
      </c>
      <c r="AQ297" s="1">
        <v>894.928886</v>
      </c>
    </row>
    <row r="298" spans="1:43">
      <c r="A298" s="1">
        <v>0.349973726</v>
      </c>
      <c r="I298" s="1">
        <v>28</v>
      </c>
      <c r="P298" s="1">
        <v>2.9</v>
      </c>
      <c r="X298" s="1">
        <v>116</v>
      </c>
      <c r="AJ298" s="1">
        <v>0.97</v>
      </c>
      <c r="AM298" s="1">
        <v>600</v>
      </c>
      <c r="AO298" s="1">
        <v>12</v>
      </c>
      <c r="AQ298" s="1">
        <v>894.928886</v>
      </c>
    </row>
    <row r="299" spans="1:43">
      <c r="P299" s="1">
        <v>2.9</v>
      </c>
      <c r="X299" s="1">
        <v>116</v>
      </c>
      <c r="AJ299" s="1">
        <v>0.97</v>
      </c>
      <c r="AQ299" s="1">
        <v>480.5798886</v>
      </c>
    </row>
    <row r="300" spans="1:43">
      <c r="P300" s="1">
        <v>2.9</v>
      </c>
      <c r="X300" s="1">
        <v>116</v>
      </c>
      <c r="AJ300" s="1">
        <v>0.97</v>
      </c>
      <c r="AQ300" s="1">
        <v>480.5798886</v>
      </c>
    </row>
    <row r="301" spans="1:43">
      <c r="P301" s="1">
        <v>2.9</v>
      </c>
      <c r="X301" s="1">
        <v>116</v>
      </c>
      <c r="AJ301" s="1">
        <v>0.97</v>
      </c>
      <c r="AQ301" s="1">
        <v>479.8554264</v>
      </c>
    </row>
    <row r="302" spans="1:43">
      <c r="P302" s="1">
        <v>2.9</v>
      </c>
      <c r="X302" s="1">
        <v>116</v>
      </c>
      <c r="AJ302" s="1">
        <v>0.97</v>
      </c>
      <c r="AQ302" s="1">
        <v>479.8554264</v>
      </c>
    </row>
    <row r="303" spans="1:43">
      <c r="P303" s="1">
        <v>2.9</v>
      </c>
      <c r="X303" s="1">
        <v>116</v>
      </c>
      <c r="AJ303" s="1">
        <v>0.97</v>
      </c>
      <c r="AQ303" s="1">
        <v>534.7892246</v>
      </c>
    </row>
    <row r="304" spans="1:43">
      <c r="P304" s="1">
        <v>2.9</v>
      </c>
      <c r="X304" s="1">
        <v>116</v>
      </c>
      <c r="AJ304" s="1">
        <v>0.97</v>
      </c>
      <c r="AQ304" s="1">
        <v>534.7892246</v>
      </c>
    </row>
    <row r="305" spans="16:43">
      <c r="P305" s="1">
        <v>2.9</v>
      </c>
      <c r="X305" s="1">
        <v>116</v>
      </c>
      <c r="AJ305" s="1">
        <v>0.97</v>
      </c>
      <c r="AQ305" s="1">
        <v>330.8205</v>
      </c>
    </row>
    <row r="306" spans="16:43">
      <c r="P306" s="1">
        <v>2.9</v>
      </c>
      <c r="X306" s="1">
        <v>116</v>
      </c>
      <c r="AJ306" s="1">
        <v>0.97</v>
      </c>
      <c r="AQ306" s="1">
        <v>330.8205</v>
      </c>
    </row>
    <row r="307" spans="16:43">
      <c r="P307" s="1">
        <v>2.9</v>
      </c>
      <c r="X307" s="1">
        <v>116</v>
      </c>
      <c r="AJ307" s="1">
        <v>0.97</v>
      </c>
      <c r="AQ307" s="1">
        <v>330.8205</v>
      </c>
    </row>
    <row r="308" spans="16:43">
      <c r="P308" s="1">
        <v>2.9</v>
      </c>
      <c r="X308" s="1">
        <v>116</v>
      </c>
      <c r="AJ308" s="1">
        <v>0.97</v>
      </c>
      <c r="AQ308" s="1">
        <v>330.8205</v>
      </c>
    </row>
    <row r="309" spans="16:43">
      <c r="P309" s="1">
        <v>2.9</v>
      </c>
      <c r="X309" s="1">
        <v>116</v>
      </c>
      <c r="AJ309" s="1">
        <v>0.97</v>
      </c>
      <c r="AQ309" s="1">
        <v>330.8205</v>
      </c>
    </row>
    <row r="310" spans="16:43">
      <c r="P310" s="1">
        <v>2.9</v>
      </c>
      <c r="X310" s="1">
        <v>116</v>
      </c>
      <c r="AJ310" s="1">
        <v>0.97</v>
      </c>
      <c r="AQ310" s="1">
        <v>330.8205</v>
      </c>
    </row>
    <row r="311" spans="16:43">
      <c r="P311" s="1">
        <v>2.9</v>
      </c>
      <c r="X311" s="1">
        <v>116</v>
      </c>
      <c r="AJ311" s="1">
        <v>0.97</v>
      </c>
      <c r="AQ311" s="1">
        <v>330.8205</v>
      </c>
    </row>
    <row r="312" spans="16:43">
      <c r="P312" s="1">
        <v>2.9</v>
      </c>
      <c r="X312" s="1">
        <v>116</v>
      </c>
      <c r="AJ312" s="1">
        <v>0.97</v>
      </c>
      <c r="AQ312" s="1">
        <v>330.8205</v>
      </c>
    </row>
    <row r="313" spans="16:43">
      <c r="P313" s="1">
        <v>2.9</v>
      </c>
      <c r="X313" s="1">
        <v>116</v>
      </c>
      <c r="AJ313" s="1">
        <v>0.97</v>
      </c>
      <c r="AQ313" s="1">
        <v>539.46165808</v>
      </c>
    </row>
    <row r="314" spans="16:43">
      <c r="P314" s="1">
        <v>2.9</v>
      </c>
      <c r="X314" s="1">
        <v>116</v>
      </c>
      <c r="AJ314" s="1">
        <v>0.97</v>
      </c>
      <c r="AQ314" s="1">
        <v>539.46165808</v>
      </c>
    </row>
    <row r="315" spans="16:43">
      <c r="P315" s="1">
        <v>2.4</v>
      </c>
      <c r="X315" s="1">
        <v>200</v>
      </c>
      <c r="AJ315" s="1">
        <v>0.785</v>
      </c>
      <c r="AQ315" s="1">
        <v>439.70698</v>
      </c>
    </row>
    <row r="316" spans="16:43">
      <c r="P316" s="1">
        <v>2.4</v>
      </c>
      <c r="X316" s="1">
        <v>200</v>
      </c>
      <c r="AJ316" s="1">
        <v>0.785</v>
      </c>
      <c r="AQ316" s="1">
        <v>439.70698</v>
      </c>
    </row>
    <row r="317" spans="16:43">
      <c r="P317" s="1">
        <v>2.4</v>
      </c>
      <c r="X317" s="1">
        <v>200</v>
      </c>
      <c r="AJ317" s="1">
        <v>0.785</v>
      </c>
      <c r="AQ317" s="1">
        <v>439.70698</v>
      </c>
    </row>
    <row r="318" spans="16:43">
      <c r="P318" s="1">
        <v>2.9</v>
      </c>
      <c r="X318" s="1">
        <v>116</v>
      </c>
      <c r="AJ318" s="1">
        <v>0.97</v>
      </c>
      <c r="AQ318" s="1">
        <v>510.5441262</v>
      </c>
    </row>
    <row r="319" spans="16:43">
      <c r="P319" s="1">
        <v>2.9</v>
      </c>
      <c r="X319" s="1">
        <v>116</v>
      </c>
      <c r="AJ319" s="1">
        <v>0.97</v>
      </c>
      <c r="AQ319" s="1">
        <v>510.5441262</v>
      </c>
    </row>
    <row r="320" spans="16:43">
      <c r="P320" s="1">
        <v>2.9</v>
      </c>
      <c r="X320" s="1">
        <v>116</v>
      </c>
      <c r="AJ320" s="1">
        <v>0.97</v>
      </c>
      <c r="AQ320" s="1">
        <v>510.5441262</v>
      </c>
    </row>
    <row r="321" spans="16:43">
      <c r="P321" s="1">
        <v>2.9</v>
      </c>
      <c r="X321" s="1">
        <v>116</v>
      </c>
      <c r="AJ321" s="1">
        <v>0.97</v>
      </c>
      <c r="AQ321" s="1">
        <v>510.5441262</v>
      </c>
    </row>
    <row r="322" spans="16:43">
      <c r="P322" s="1">
        <v>2.9</v>
      </c>
      <c r="X322" s="1">
        <v>116</v>
      </c>
      <c r="AJ322" s="1">
        <v>0.97</v>
      </c>
      <c r="AQ322" s="1">
        <v>510.5441262</v>
      </c>
    </row>
    <row r="323" spans="16:43">
      <c r="P323" s="1">
        <v>2.9</v>
      </c>
      <c r="X323" s="1">
        <v>116</v>
      </c>
      <c r="AJ323" s="1">
        <v>0.97</v>
      </c>
      <c r="AQ323" s="1">
        <v>510.5441262</v>
      </c>
    </row>
    <row r="324" spans="16:43">
      <c r="P324" s="1">
        <v>2.9</v>
      </c>
      <c r="X324" s="1">
        <v>116</v>
      </c>
      <c r="AJ324" s="1">
        <v>0.97</v>
      </c>
      <c r="AQ324" s="1">
        <v>487.6355952</v>
      </c>
    </row>
    <row r="325" spans="16:43">
      <c r="P325" s="1">
        <v>2.9</v>
      </c>
      <c r="X325" s="1">
        <v>116</v>
      </c>
      <c r="AJ325" s="1">
        <v>0.97</v>
      </c>
      <c r="AQ325" s="1">
        <v>487.6355952</v>
      </c>
    </row>
    <row r="326" spans="16:43">
      <c r="P326" s="1">
        <v>2.9</v>
      </c>
      <c r="X326" s="1">
        <v>116</v>
      </c>
      <c r="AJ326" s="1">
        <v>0.97</v>
      </c>
      <c r="AQ326" s="1">
        <v>487.6355952</v>
      </c>
    </row>
    <row r="327" spans="16:43">
      <c r="P327" s="1">
        <v>2.9</v>
      </c>
      <c r="X327" s="1">
        <v>116</v>
      </c>
      <c r="AJ327" s="1">
        <v>0.97</v>
      </c>
      <c r="AQ327" s="1">
        <v>487.6355952</v>
      </c>
    </row>
    <row r="328" spans="16:43">
      <c r="P328" s="1">
        <v>2.9</v>
      </c>
      <c r="X328" s="1">
        <v>116</v>
      </c>
      <c r="AJ328" s="1">
        <v>0.97</v>
      </c>
      <c r="AQ328" s="1">
        <v>487.6355952</v>
      </c>
    </row>
    <row r="329" spans="16:43">
      <c r="P329" s="1">
        <v>2.9</v>
      </c>
      <c r="X329" s="1">
        <v>116</v>
      </c>
      <c r="AJ329" s="1">
        <v>0.97</v>
      </c>
      <c r="AQ329" s="1">
        <v>487.6355952</v>
      </c>
    </row>
    <row r="330" spans="16:43">
      <c r="P330" s="1">
        <v>2.9</v>
      </c>
      <c r="X330" s="1">
        <v>116</v>
      </c>
      <c r="AJ330" s="1">
        <v>0.97</v>
      </c>
      <c r="AQ330" s="1">
        <v>479.8554264</v>
      </c>
    </row>
    <row r="331" spans="16:43">
      <c r="P331" s="1">
        <v>2.9</v>
      </c>
      <c r="X331" s="1">
        <v>116</v>
      </c>
      <c r="AJ331" s="1">
        <v>0.97</v>
      </c>
      <c r="AQ331" s="1">
        <v>479.8554264</v>
      </c>
    </row>
    <row r="332" spans="16:43">
      <c r="P332" s="1">
        <v>2.9</v>
      </c>
      <c r="X332" s="1">
        <v>116</v>
      </c>
      <c r="AJ332" s="1">
        <v>0.97</v>
      </c>
      <c r="AQ332" s="1">
        <v>479.8554264</v>
      </c>
    </row>
    <row r="333" spans="16:43">
      <c r="P333" s="1">
        <v>2.4</v>
      </c>
      <c r="X333" s="1">
        <v>200</v>
      </c>
      <c r="AJ333" s="1">
        <v>0.785</v>
      </c>
      <c r="AQ333" s="1">
        <v>512.481322</v>
      </c>
    </row>
    <row r="334" spans="16:43">
      <c r="P334" s="1">
        <v>2.4</v>
      </c>
      <c r="X334" s="1">
        <v>200</v>
      </c>
      <c r="AJ334" s="1">
        <v>0.785</v>
      </c>
      <c r="AQ334" s="1">
        <v>512.481322</v>
      </c>
    </row>
    <row r="335" spans="16:43">
      <c r="P335" s="1">
        <v>2.4</v>
      </c>
      <c r="X335" s="1">
        <v>200</v>
      </c>
      <c r="AJ335" s="1">
        <v>0.785</v>
      </c>
      <c r="AQ335" s="1">
        <v>512.481322</v>
      </c>
    </row>
    <row r="336" spans="16:43">
      <c r="P336" s="1">
        <v>2.4</v>
      </c>
      <c r="X336" s="1">
        <v>200</v>
      </c>
      <c r="AJ336" s="1">
        <v>0.785</v>
      </c>
      <c r="AQ336" s="1">
        <v>512.481322</v>
      </c>
    </row>
    <row r="337" spans="16:43">
      <c r="P337" s="1">
        <v>2.4</v>
      </c>
      <c r="X337" s="1">
        <v>200</v>
      </c>
      <c r="AJ337" s="1">
        <v>0.785</v>
      </c>
      <c r="AQ337" s="1">
        <v>512.481322</v>
      </c>
    </row>
    <row r="338" spans="16:43">
      <c r="P338" s="1">
        <v>2.4</v>
      </c>
      <c r="X338" s="1">
        <v>200</v>
      </c>
      <c r="AJ338" s="1">
        <v>0.785</v>
      </c>
      <c r="AQ338" s="1">
        <v>512.481322</v>
      </c>
    </row>
    <row r="339" spans="16:43">
      <c r="P339" s="1">
        <v>2.4</v>
      </c>
      <c r="X339" s="1">
        <v>200</v>
      </c>
      <c r="AJ339" s="1">
        <v>0.785</v>
      </c>
      <c r="AQ339" s="1">
        <v>512.481322</v>
      </c>
    </row>
    <row r="340" spans="16:43">
      <c r="P340" s="1">
        <v>2.4</v>
      </c>
      <c r="X340" s="1">
        <v>200</v>
      </c>
      <c r="AJ340" s="1">
        <v>0.785</v>
      </c>
      <c r="AQ340" s="1">
        <v>512.481322</v>
      </c>
    </row>
    <row r="341" spans="16:43">
      <c r="P341" s="1">
        <v>2.4</v>
      </c>
      <c r="X341" s="1">
        <v>200</v>
      </c>
      <c r="AJ341" s="1">
        <v>0.785</v>
      </c>
      <c r="AQ341" s="1">
        <v>512.481322</v>
      </c>
    </row>
    <row r="342" spans="16:43">
      <c r="P342" s="1">
        <v>2.9</v>
      </c>
      <c r="X342" s="1">
        <v>116</v>
      </c>
      <c r="AJ342" s="1">
        <v>0.97</v>
      </c>
      <c r="AQ342" s="1">
        <v>709.949898</v>
      </c>
    </row>
    <row r="343" spans="16:43">
      <c r="P343" s="1">
        <v>2.4</v>
      </c>
      <c r="X343" s="1">
        <v>200</v>
      </c>
      <c r="AJ343" s="1">
        <v>0.785</v>
      </c>
      <c r="AQ343" s="1">
        <v>671.38582</v>
      </c>
    </row>
    <row r="344" spans="16:43">
      <c r="P344" s="1">
        <v>2.4</v>
      </c>
      <c r="X344" s="1">
        <v>200</v>
      </c>
      <c r="AJ344" s="1">
        <v>0.785</v>
      </c>
      <c r="AQ344" s="1">
        <v>671.38582</v>
      </c>
    </row>
    <row r="345" spans="16:43">
      <c r="P345" s="1">
        <v>2.4</v>
      </c>
      <c r="X345" s="1">
        <v>200</v>
      </c>
      <c r="AJ345" s="1">
        <v>0.785</v>
      </c>
      <c r="AQ345" s="1">
        <v>671.38582</v>
      </c>
    </row>
    <row r="346" spans="16:43">
      <c r="P346" s="1">
        <v>2.4</v>
      </c>
      <c r="X346" s="1">
        <v>200</v>
      </c>
      <c r="AJ346" s="1">
        <v>0.785</v>
      </c>
      <c r="AQ346" s="1">
        <v>671.38582</v>
      </c>
    </row>
    <row r="347" spans="16:43">
      <c r="P347" s="1">
        <v>2.4</v>
      </c>
      <c r="X347" s="1">
        <v>200</v>
      </c>
      <c r="AJ347" s="1">
        <v>0.785</v>
      </c>
      <c r="AQ347" s="1">
        <v>671.38582</v>
      </c>
    </row>
    <row r="348" spans="16:43">
      <c r="P348" s="1">
        <v>2.4</v>
      </c>
      <c r="X348" s="1">
        <v>200</v>
      </c>
      <c r="AJ348" s="1">
        <v>0.785</v>
      </c>
      <c r="AQ348" s="1">
        <v>671.38582</v>
      </c>
    </row>
    <row r="349" spans="16:43">
      <c r="P349" s="1">
        <v>2.4</v>
      </c>
      <c r="X349" s="1">
        <v>200</v>
      </c>
      <c r="AJ349" s="1">
        <v>0.785</v>
      </c>
      <c r="AQ349" s="1">
        <v>671.38582</v>
      </c>
    </row>
    <row r="350" spans="16:43">
      <c r="P350" s="1">
        <v>2.4</v>
      </c>
      <c r="X350" s="1">
        <v>200</v>
      </c>
      <c r="AJ350" s="1">
        <v>0.785</v>
      </c>
      <c r="AQ350" s="1">
        <v>671.38582</v>
      </c>
    </row>
    <row r="351" spans="16:43">
      <c r="P351" s="1">
        <v>2.4</v>
      </c>
      <c r="X351" s="1">
        <v>200</v>
      </c>
      <c r="AJ351" s="1">
        <v>0.785</v>
      </c>
      <c r="AQ351" s="1">
        <v>671.38582</v>
      </c>
    </row>
    <row r="352" spans="16:43">
      <c r="P352" s="1">
        <v>2.4</v>
      </c>
      <c r="X352" s="1">
        <v>200</v>
      </c>
      <c r="AJ352" s="1">
        <v>0.785</v>
      </c>
      <c r="AQ352" s="1">
        <v>671.38582</v>
      </c>
    </row>
    <row r="353" spans="16:43">
      <c r="P353" s="1">
        <v>2.4</v>
      </c>
      <c r="X353" s="1">
        <v>200</v>
      </c>
      <c r="AJ353" s="1">
        <v>0.785</v>
      </c>
      <c r="AQ353" s="1">
        <v>671.38582</v>
      </c>
    </row>
    <row r="354" spans="16:43">
      <c r="P354" s="1">
        <v>2.4</v>
      </c>
      <c r="X354" s="1">
        <v>200</v>
      </c>
      <c r="AJ354" s="1">
        <v>0.785</v>
      </c>
      <c r="AQ354" s="1">
        <v>671.38582</v>
      </c>
    </row>
    <row r="355" spans="16:43">
      <c r="P355" s="1">
        <v>2.9</v>
      </c>
      <c r="X355" s="1">
        <v>116</v>
      </c>
      <c r="AJ355" s="1">
        <v>0.97</v>
      </c>
      <c r="AQ355" s="1">
        <v>246.62438</v>
      </c>
    </row>
    <row r="356" spans="16:43">
      <c r="P356" s="1">
        <v>2.9</v>
      </c>
      <c r="X356" s="1">
        <v>116</v>
      </c>
      <c r="AJ356" s="1">
        <v>0.97</v>
      </c>
      <c r="AQ356" s="1">
        <v>246.62438</v>
      </c>
    </row>
    <row r="357" spans="16:43">
      <c r="P357" s="1">
        <v>2.9</v>
      </c>
      <c r="X357" s="1">
        <v>116</v>
      </c>
      <c r="AJ357" s="1">
        <v>0.97</v>
      </c>
      <c r="AQ357" s="1">
        <v>246.62438</v>
      </c>
    </row>
    <row r="358" spans="16:43">
      <c r="P358" s="1">
        <v>2.9</v>
      </c>
      <c r="X358" s="1">
        <v>116</v>
      </c>
      <c r="AJ358" s="1">
        <v>0.97</v>
      </c>
      <c r="AQ358" s="1">
        <v>246.62438</v>
      </c>
    </row>
    <row r="359" spans="16:43">
      <c r="P359" s="1">
        <v>2.9</v>
      </c>
      <c r="X359" s="1">
        <v>116</v>
      </c>
      <c r="AJ359" s="1">
        <v>0.97</v>
      </c>
      <c r="AQ359" s="1">
        <v>246.62438</v>
      </c>
    </row>
    <row r="360" spans="16:43">
      <c r="P360" s="1">
        <v>2.9</v>
      </c>
      <c r="X360" s="1">
        <v>116</v>
      </c>
      <c r="AJ360" s="1">
        <v>0.97</v>
      </c>
      <c r="AQ360" s="1">
        <v>246.62438</v>
      </c>
    </row>
    <row r="361" spans="16:43">
      <c r="P361" s="1">
        <v>2.9</v>
      </c>
      <c r="X361" s="1">
        <v>116</v>
      </c>
      <c r="AJ361" s="1">
        <v>0.97</v>
      </c>
      <c r="AQ361" s="1">
        <v>246.62438</v>
      </c>
    </row>
    <row r="362" spans="16:43">
      <c r="P362" s="1">
        <v>2.9</v>
      </c>
      <c r="X362" s="1">
        <v>116</v>
      </c>
      <c r="AJ362" s="1">
        <v>0.97</v>
      </c>
      <c r="AQ362" s="1">
        <v>246.62438</v>
      </c>
    </row>
    <row r="363" spans="16:43">
      <c r="P363" s="1">
        <v>2.9</v>
      </c>
      <c r="X363" s="1">
        <v>116</v>
      </c>
      <c r="AJ363" s="1">
        <v>0.97</v>
      </c>
      <c r="AQ363" s="1">
        <v>246.62438</v>
      </c>
    </row>
    <row r="364" spans="16:43">
      <c r="P364" s="1">
        <v>2.9</v>
      </c>
      <c r="X364" s="1">
        <v>116</v>
      </c>
      <c r="AJ364" s="1">
        <v>0.97</v>
      </c>
      <c r="AQ364" s="1">
        <v>959.55991</v>
      </c>
    </row>
    <row r="365" spans="16:43">
      <c r="P365" s="1">
        <v>2.9</v>
      </c>
      <c r="X365" s="1">
        <v>116</v>
      </c>
      <c r="AJ365" s="1">
        <v>0.97</v>
      </c>
      <c r="AQ365" s="1">
        <v>959.55991</v>
      </c>
    </row>
    <row r="366" spans="16:43">
      <c r="P366" s="1">
        <v>2.9</v>
      </c>
      <c r="X366" s="1">
        <v>116</v>
      </c>
      <c r="AJ366" s="1">
        <v>0.97</v>
      </c>
      <c r="AQ366" s="1">
        <v>959.55991</v>
      </c>
    </row>
    <row r="367" spans="16:43">
      <c r="P367" s="1">
        <v>2.9</v>
      </c>
      <c r="X367" s="1">
        <v>116</v>
      </c>
      <c r="AJ367" s="1">
        <v>0.97</v>
      </c>
      <c r="AQ367" s="1">
        <v>764.813138</v>
      </c>
    </row>
    <row r="368" spans="16:43">
      <c r="P368" s="1">
        <v>2.9</v>
      </c>
      <c r="X368" s="1">
        <v>116</v>
      </c>
      <c r="AJ368" s="1">
        <v>0.97</v>
      </c>
      <c r="AQ368" s="1">
        <v>764.813138</v>
      </c>
    </row>
    <row r="369" spans="16:43">
      <c r="P369" s="1">
        <v>2.9</v>
      </c>
      <c r="X369" s="1">
        <v>116</v>
      </c>
      <c r="AJ369" s="1">
        <v>0.97</v>
      </c>
      <c r="AQ369" s="1">
        <v>764.813138</v>
      </c>
    </row>
    <row r="370" spans="16:43">
      <c r="P370" s="1">
        <v>2.9</v>
      </c>
      <c r="X370" s="1">
        <v>116</v>
      </c>
      <c r="AJ370" s="1">
        <v>0.97</v>
      </c>
      <c r="AQ370" s="1">
        <v>671.01502</v>
      </c>
    </row>
    <row r="371" spans="16:43">
      <c r="P371" s="1">
        <v>2.9</v>
      </c>
      <c r="X371" s="1">
        <v>116</v>
      </c>
      <c r="AJ371" s="1">
        <v>0.97</v>
      </c>
      <c r="AQ371" s="1">
        <v>671.01502</v>
      </c>
    </row>
    <row r="372" spans="16:43">
      <c r="P372" s="1">
        <v>2.9</v>
      </c>
      <c r="X372" s="1">
        <v>116</v>
      </c>
      <c r="AJ372" s="1">
        <v>0.97</v>
      </c>
      <c r="AQ372" s="1">
        <v>671.01502</v>
      </c>
    </row>
    <row r="373" spans="16:43">
      <c r="P373" s="1">
        <v>2.9</v>
      </c>
      <c r="X373" s="1">
        <v>116</v>
      </c>
      <c r="AJ373" s="1">
        <v>0.97</v>
      </c>
      <c r="AQ373" s="1">
        <v>577.96959</v>
      </c>
    </row>
    <row r="374" spans="16:43">
      <c r="P374" s="1">
        <v>2.9</v>
      </c>
      <c r="X374" s="1">
        <v>116</v>
      </c>
      <c r="AJ374" s="1">
        <v>0.97</v>
      </c>
      <c r="AQ374" s="1">
        <v>577.96959</v>
      </c>
    </row>
    <row r="375" spans="16:43">
      <c r="P375" s="1">
        <v>2.9</v>
      </c>
      <c r="X375" s="1">
        <v>116</v>
      </c>
      <c r="AJ375" s="1">
        <v>0.97</v>
      </c>
      <c r="AQ375" s="1">
        <v>577.96959</v>
      </c>
    </row>
    <row r="376" spans="16:43">
      <c r="P376" s="1">
        <v>2.9</v>
      </c>
      <c r="X376" s="1">
        <v>116</v>
      </c>
      <c r="AJ376" s="1">
        <v>0.97</v>
      </c>
      <c r="AQ376" s="1">
        <v>485.112332</v>
      </c>
    </row>
    <row r="377" spans="16:43">
      <c r="P377" s="1">
        <v>2.9</v>
      </c>
      <c r="X377" s="1">
        <v>116</v>
      </c>
      <c r="AJ377" s="1">
        <v>0.97</v>
      </c>
      <c r="AQ377" s="1">
        <v>485.112332</v>
      </c>
    </row>
    <row r="378" spans="16:43">
      <c r="P378" s="1">
        <v>2.9</v>
      </c>
      <c r="X378" s="1">
        <v>116</v>
      </c>
      <c r="AJ378" s="1">
        <v>0.97</v>
      </c>
      <c r="AQ378" s="1">
        <v>485.112332</v>
      </c>
    </row>
    <row r="379" spans="16:43">
      <c r="P379" s="1">
        <v>2.9</v>
      </c>
      <c r="X379" s="1">
        <v>116</v>
      </c>
      <c r="AJ379" s="1">
        <v>0.97</v>
      </c>
      <c r="AQ379" s="1">
        <v>959.55991</v>
      </c>
    </row>
    <row r="380" spans="16:43">
      <c r="P380" s="1">
        <v>2.9</v>
      </c>
      <c r="X380" s="1">
        <v>116</v>
      </c>
      <c r="AJ380" s="1">
        <v>0.97</v>
      </c>
      <c r="AQ380" s="1">
        <v>959.55991</v>
      </c>
    </row>
    <row r="381" spans="16:43">
      <c r="P381" s="1">
        <v>2.9</v>
      </c>
      <c r="X381" s="1">
        <v>116</v>
      </c>
      <c r="AJ381" s="1">
        <v>0.97</v>
      </c>
      <c r="AQ381" s="1">
        <v>959.55991</v>
      </c>
    </row>
    <row r="382" spans="16:43">
      <c r="P382" s="1">
        <v>2.9</v>
      </c>
      <c r="X382" s="1">
        <v>116</v>
      </c>
      <c r="AJ382" s="1">
        <v>0.97</v>
      </c>
      <c r="AQ382" s="1">
        <v>764.813138</v>
      </c>
    </row>
    <row r="383" spans="16:43">
      <c r="P383" s="1">
        <v>2.9</v>
      </c>
      <c r="X383" s="1">
        <v>116</v>
      </c>
      <c r="AJ383" s="1">
        <v>0.97</v>
      </c>
      <c r="AQ383" s="1">
        <v>764.813138</v>
      </c>
    </row>
    <row r="384" spans="16:43">
      <c r="P384" s="1">
        <v>2.9</v>
      </c>
      <c r="X384" s="1">
        <v>116</v>
      </c>
      <c r="AJ384" s="1">
        <v>0.97</v>
      </c>
      <c r="AQ384" s="1">
        <v>764.813138</v>
      </c>
    </row>
    <row r="385" spans="16:43">
      <c r="P385" s="1">
        <v>2.9</v>
      </c>
      <c r="X385" s="1">
        <v>116</v>
      </c>
      <c r="AJ385" s="1">
        <v>0.97</v>
      </c>
      <c r="AQ385" s="1">
        <v>671.01502</v>
      </c>
    </row>
    <row r="386" spans="16:43">
      <c r="P386" s="1">
        <v>2.9</v>
      </c>
      <c r="X386" s="1">
        <v>116</v>
      </c>
      <c r="AJ386" s="1">
        <v>0.97</v>
      </c>
      <c r="AQ386" s="1">
        <v>671.01502</v>
      </c>
    </row>
    <row r="387" spans="16:43">
      <c r="P387" s="1">
        <v>2.9</v>
      </c>
      <c r="X387" s="1">
        <v>116</v>
      </c>
      <c r="AJ387" s="1">
        <v>0.97</v>
      </c>
      <c r="AQ387" s="1">
        <v>671.01502</v>
      </c>
    </row>
    <row r="388" spans="16:43">
      <c r="P388" s="1">
        <v>2.9</v>
      </c>
      <c r="X388" s="1">
        <v>116</v>
      </c>
      <c r="AJ388" s="1">
        <v>0.97</v>
      </c>
      <c r="AQ388" s="1">
        <v>577.96959</v>
      </c>
    </row>
    <row r="389" spans="16:43">
      <c r="P389" s="1">
        <v>2.9</v>
      </c>
      <c r="X389" s="1">
        <v>116</v>
      </c>
      <c r="AJ389" s="1">
        <v>0.97</v>
      </c>
      <c r="AQ389" s="1">
        <v>577.96959</v>
      </c>
    </row>
    <row r="390" spans="16:43">
      <c r="P390" s="1">
        <v>2.9</v>
      </c>
      <c r="X390" s="1">
        <v>116</v>
      </c>
      <c r="AJ390" s="1">
        <v>0.97</v>
      </c>
      <c r="AQ390" s="1">
        <v>577.96959</v>
      </c>
    </row>
    <row r="391" spans="16:43">
      <c r="P391" s="1">
        <v>2.9</v>
      </c>
      <c r="X391" s="1">
        <v>116</v>
      </c>
      <c r="AJ391" s="1">
        <v>0.97</v>
      </c>
      <c r="AQ391" s="1">
        <v>485.112332</v>
      </c>
    </row>
    <row r="392" spans="16:43">
      <c r="P392" s="1">
        <v>2.9</v>
      </c>
      <c r="X392" s="1">
        <v>116</v>
      </c>
      <c r="AJ392" s="1">
        <v>0.97</v>
      </c>
      <c r="AQ392" s="1">
        <v>485.112332</v>
      </c>
    </row>
    <row r="393" spans="16:43">
      <c r="P393" s="1">
        <v>2.9</v>
      </c>
      <c r="X393" s="1">
        <v>116</v>
      </c>
      <c r="AJ393" s="1">
        <v>0.97</v>
      </c>
      <c r="AQ393" s="1">
        <v>485.112332</v>
      </c>
    </row>
    <row r="394" spans="16:43">
      <c r="P394" s="1">
        <v>2.4</v>
      </c>
      <c r="X394" s="1">
        <v>200</v>
      </c>
      <c r="AJ394" s="1">
        <v>0.785</v>
      </c>
      <c r="AQ394" s="1">
        <v>696.8141</v>
      </c>
    </row>
    <row r="395" spans="16:43">
      <c r="P395" s="1">
        <v>2.4</v>
      </c>
      <c r="X395" s="1">
        <v>200</v>
      </c>
      <c r="AJ395" s="1">
        <v>0.785</v>
      </c>
      <c r="AQ395" s="1">
        <v>696.8141</v>
      </c>
    </row>
    <row r="396" spans="16:43">
      <c r="P396" s="1">
        <v>2.4</v>
      </c>
      <c r="X396" s="1">
        <v>200</v>
      </c>
      <c r="AJ396" s="1">
        <v>0.785</v>
      </c>
      <c r="AQ396" s="1">
        <v>696.8141</v>
      </c>
    </row>
    <row r="397" spans="16:43">
      <c r="P397" s="1">
        <v>2.4</v>
      </c>
      <c r="X397" s="1">
        <v>200</v>
      </c>
      <c r="AJ397" s="1">
        <v>0.785</v>
      </c>
      <c r="AQ397" s="1">
        <v>696.8141</v>
      </c>
    </row>
    <row r="398" spans="16:43">
      <c r="P398" s="1">
        <v>2.4</v>
      </c>
      <c r="X398" s="1">
        <v>200</v>
      </c>
      <c r="AJ398" s="1">
        <v>0.785</v>
      </c>
      <c r="AQ398" s="1">
        <v>696.8141</v>
      </c>
    </row>
    <row r="399" spans="16:43">
      <c r="P399" s="1">
        <v>2.4</v>
      </c>
      <c r="X399" s="1">
        <v>200</v>
      </c>
      <c r="AJ399" s="1">
        <v>0.785</v>
      </c>
      <c r="AQ399" s="1">
        <v>696.8141</v>
      </c>
    </row>
    <row r="400" spans="16:43">
      <c r="P400" s="1">
        <v>2.4</v>
      </c>
      <c r="X400" s="1">
        <v>200</v>
      </c>
      <c r="AJ400" s="1">
        <v>0.785</v>
      </c>
      <c r="AQ400" s="1">
        <v>696.8141</v>
      </c>
    </row>
    <row r="401" spans="16:43">
      <c r="P401" s="1">
        <v>2.4</v>
      </c>
      <c r="X401" s="1">
        <v>200</v>
      </c>
      <c r="AJ401" s="1">
        <v>0.785</v>
      </c>
      <c r="AQ401" s="1">
        <v>696.8141</v>
      </c>
    </row>
    <row r="402" spans="16:43">
      <c r="P402" s="1">
        <v>2.4</v>
      </c>
      <c r="X402" s="1">
        <v>200</v>
      </c>
      <c r="AJ402" s="1">
        <v>0.785</v>
      </c>
      <c r="AQ402" s="1">
        <v>696.8141</v>
      </c>
    </row>
    <row r="403" spans="16:43">
      <c r="P403" s="1">
        <v>2.4</v>
      </c>
      <c r="X403" s="1">
        <v>200</v>
      </c>
      <c r="AJ403" s="1">
        <v>0.785</v>
      </c>
      <c r="AQ403" s="1">
        <v>638.19013</v>
      </c>
    </row>
    <row r="404" spans="16:43">
      <c r="P404" s="1">
        <v>2.4</v>
      </c>
      <c r="X404" s="1">
        <v>200</v>
      </c>
      <c r="AJ404" s="1">
        <v>0.785</v>
      </c>
      <c r="AQ404" s="1">
        <v>637.99072</v>
      </c>
    </row>
    <row r="405" spans="16:43">
      <c r="P405" s="1">
        <v>2.4</v>
      </c>
      <c r="X405" s="1">
        <v>200</v>
      </c>
      <c r="AJ405" s="1">
        <v>0.785</v>
      </c>
      <c r="AQ405" s="1">
        <v>637.80304</v>
      </c>
    </row>
    <row r="406" spans="16:43">
      <c r="P406" s="1">
        <v>2.4</v>
      </c>
      <c r="X406" s="1">
        <v>200</v>
      </c>
      <c r="AJ406" s="1">
        <v>0.785</v>
      </c>
      <c r="AQ406" s="1">
        <v>637.60363</v>
      </c>
    </row>
    <row r="407" spans="16:43">
      <c r="P407" s="1">
        <v>2.4</v>
      </c>
      <c r="X407" s="1">
        <v>200</v>
      </c>
      <c r="AJ407" s="1">
        <v>0.785</v>
      </c>
      <c r="AQ407" s="1">
        <v>638.19013</v>
      </c>
    </row>
    <row r="408" spans="16:43">
      <c r="P408" s="1">
        <v>2.4</v>
      </c>
      <c r="X408" s="1">
        <v>200</v>
      </c>
      <c r="AJ408" s="1">
        <v>0.785</v>
      </c>
      <c r="AQ408" s="1">
        <v>637.99072</v>
      </c>
    </row>
    <row r="409" spans="16:43">
      <c r="P409" s="1">
        <v>2.4</v>
      </c>
      <c r="X409" s="1">
        <v>200</v>
      </c>
      <c r="AJ409" s="1">
        <v>0.785</v>
      </c>
      <c r="AQ409" s="1">
        <v>637.80304</v>
      </c>
    </row>
    <row r="410" spans="16:43">
      <c r="P410" s="1">
        <v>2.4</v>
      </c>
      <c r="X410" s="1">
        <v>200</v>
      </c>
      <c r="AJ410" s="1">
        <v>0.785</v>
      </c>
      <c r="AQ410" s="1">
        <v>637.60363</v>
      </c>
    </row>
    <row r="411" spans="16:43">
      <c r="P411" s="1">
        <v>2.9</v>
      </c>
      <c r="X411" s="1">
        <v>116</v>
      </c>
      <c r="AJ411" s="1">
        <v>0.97</v>
      </c>
      <c r="AQ411" s="1">
        <v>834.9221853</v>
      </c>
    </row>
    <row r="412" spans="16:43">
      <c r="P412" s="1">
        <v>2.9</v>
      </c>
      <c r="X412" s="1">
        <v>116</v>
      </c>
      <c r="AJ412" s="1">
        <v>0.97</v>
      </c>
      <c r="AQ412" s="1">
        <v>834.9221853</v>
      </c>
    </row>
    <row r="413" spans="16:43">
      <c r="P413" s="1">
        <v>2.9</v>
      </c>
      <c r="X413" s="1">
        <v>116</v>
      </c>
      <c r="AJ413" s="1">
        <v>0.97</v>
      </c>
      <c r="AQ413" s="1">
        <v>834.9221853</v>
      </c>
    </row>
    <row r="414" spans="16:43">
      <c r="P414" s="1">
        <v>2.9</v>
      </c>
      <c r="X414" s="1">
        <v>116</v>
      </c>
      <c r="AJ414" s="1">
        <v>0.97</v>
      </c>
      <c r="AQ414" s="1">
        <v>703.7815048</v>
      </c>
    </row>
    <row r="415" spans="16:43">
      <c r="P415" s="1">
        <v>2.9</v>
      </c>
      <c r="X415" s="1">
        <v>116</v>
      </c>
      <c r="AJ415" s="1">
        <v>0.97</v>
      </c>
      <c r="AQ415" s="1">
        <v>703.7815048</v>
      </c>
    </row>
    <row r="416" spans="16:43">
      <c r="P416" s="1">
        <v>2.9</v>
      </c>
      <c r="X416" s="1">
        <v>116</v>
      </c>
      <c r="AJ416" s="1">
        <v>0.97</v>
      </c>
      <c r="AQ416" s="1">
        <v>703.7815048</v>
      </c>
    </row>
    <row r="417" spans="16:43">
      <c r="P417" s="1">
        <v>2.9</v>
      </c>
      <c r="X417" s="1">
        <v>116</v>
      </c>
      <c r="AJ417" s="1">
        <v>0.97</v>
      </c>
      <c r="AQ417" s="1">
        <v>704.3272036</v>
      </c>
    </row>
    <row r="418" spans="16:43">
      <c r="P418" s="1">
        <v>2.9</v>
      </c>
      <c r="X418" s="1">
        <v>116</v>
      </c>
      <c r="AJ418" s="1">
        <v>0.97</v>
      </c>
      <c r="AQ418" s="1">
        <v>704.3272036</v>
      </c>
    </row>
    <row r="419" spans="16:43">
      <c r="P419" s="1">
        <v>2.9</v>
      </c>
      <c r="X419" s="1">
        <v>116</v>
      </c>
      <c r="AJ419" s="1">
        <v>0.97</v>
      </c>
      <c r="AQ419" s="1">
        <v>704.3272036</v>
      </c>
    </row>
  </sheetData>
  <sortState ref="AS52:AS62">
    <sortCondition ref="AS52"/>
  </sortState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3DP-FRC CS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</dc:creator>
  <cp:lastModifiedBy>Lorna</cp:lastModifiedBy>
  <dcterms:created xsi:type="dcterms:W3CDTF">2023-03-31T09:12:00Z</dcterms:created>
  <dcterms:modified xsi:type="dcterms:W3CDTF">2026-02-10T02:18:07Z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9A9ABB2422724AFABA6AC675D5868C21_13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